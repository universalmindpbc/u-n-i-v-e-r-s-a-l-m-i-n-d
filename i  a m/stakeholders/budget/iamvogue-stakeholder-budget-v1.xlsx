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898f7dded74b02" /></Relationships>
</file>

<file path=xl/workbook.xml><?xml version="1.0" encoding="utf-8"?>
<x:workbook xmlns:x="http://schemas.openxmlformats.org/spreadsheetml/2006/main">
  <x:sheets>
    <x:sheet xmlns:r="http://schemas.openxmlformats.org/officeDocument/2006/relationships" name="Cover" sheetId="1" r:id="R9baf28e4aa2047f0"/>
    <x:sheet xmlns:r="http://schemas.openxmlformats.org/officeDocument/2006/relationships" name="Summary" sheetId="2" r:id="R1964613bdda7429f"/>
    <x:sheet xmlns:r="http://schemas.openxmlformats.org/officeDocument/2006/relationships" name="Assumptions" sheetId="3" r:id="R44729d0da3c9412a"/>
    <x:sheet xmlns:r="http://schemas.openxmlformats.org/officeDocument/2006/relationships" name="Research Plan" sheetId="4" r:id="R168d670068fb48c9"/>
    <x:sheet xmlns:r="http://schemas.openxmlformats.org/officeDocument/2006/relationships" name="Monthly P&amp;L" sheetId="5" r:id="R1c6b758cfd7c44ad"/>
    <x:sheet xmlns:r="http://schemas.openxmlformats.org/officeDocument/2006/relationships" name="Surplus Allocation" sheetId="6" r:id="R1a819b932548419b"/>
    <x:sheet xmlns:r="http://schemas.openxmlformats.org/officeDocument/2006/relationships" name="Checks" sheetId="7" r:id="R40a8b3d3ddf3440c"/>
    <x:sheet xmlns:r="http://schemas.openxmlformats.org/officeDocument/2006/relationships" name="Sources" sheetId="8" r:id="Rfe58eee394bd48be"/>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0;[Red](#,##0);-"/>
    <x:numFmt numFmtId="202" formatCode="A$#,##0;[Red](A$#,##0);-"/>
    <x:numFmt numFmtId="203" formatCode="0.0%;[Red](0.0%);-"/>
    <x:numFmt numFmtId="204" formatCode="A$#,##0.0;[Red](A$#,##0.0);-"/>
    <x:numFmt numFmtId="205" formatCode="US$0.00"/>
    <x:numFmt numFmtId="206" formatCode="#,##0.0;[Red](#,##0.0);-"/>
    <x:numFmt numFmtId="207" formatCode="0.0000"/>
    <x:numFmt numFmtId="208" formatCode="mmm yyyy"/>
    <x:numFmt numFmtId="209" formatCode="mmm-yy"/>
  </x:numFmts>
  <x:fonts count="22">
    <x:font>
      <x:sz val="11"/>
      <x:name val="Carlito"/>
    </x:font>
    <x:font>
      <x:sz val="11"/>
      <x:color rgb="FF1F1A24"/>
      <x:name val="Aptos"/>
    </x:font>
    <x:font>
      <x:b/>
      <x:sz val="26"/>
      <x:color rgb="FF3E1E45"/>
      <x:name val="Georgia"/>
    </x:font>
    <x:font>
      <x:sz val="18"/>
      <x:color rgb="FF176B4D"/>
      <x:name val="Georgia"/>
    </x:font>
    <x:font>
      <x:b/>
      <x:sz val="11"/>
      <x:color rgb="FF3E1E45"/>
      <x:name val="Aptos"/>
    </x:font>
    <x:font>
      <x:sz val="10"/>
      <x:color rgb="FF1F1A24"/>
      <x:name val="Aptos"/>
    </x:font>
    <x:font>
      <x:i/>
      <x:sz val="9"/>
      <x:color rgb="FF3E1E45"/>
      <x:name val="Aptos"/>
    </x:font>
    <x:font>
      <x:b/>
      <x:sz val="20"/>
      <x:color rgb="FF3E1E45"/>
      <x:name val="Georgia"/>
    </x:font>
    <x:font>
      <x:b/>
      <x:sz val="11"/>
      <x:color rgb="FF0000FF"/>
      <x:name val="Aptos"/>
    </x:font>
    <x:font>
      <x:b/>
      <x:sz val="11"/>
      <x:color rgb="FF008000"/>
      <x:name val="Aptos"/>
    </x:font>
    <x:font>
      <x:b/>
      <x:sz val="11"/>
      <x:color rgb="FFFFFFFF"/>
      <x:name val="Aptos"/>
    </x:font>
    <x:font>
      <x:sz val="11"/>
      <x:color rgb="FF008000"/>
      <x:name val="Aptos"/>
    </x:font>
    <x:font>
      <x:b/>
      <x:sz val="11"/>
      <x:color rgb="FF1F1A24"/>
      <x:name val="Aptos"/>
    </x:font>
    <x:font>
      <x:b/>
      <x:sz val="18"/>
      <x:color rgb="FFFFFFFF"/>
      <x:name val="Georgia"/>
    </x:font>
    <x:font>
      <x:i/>
      <x:sz val="11"/>
      <x:color rgb="FF6B6570"/>
      <x:name val="Aptos"/>
    </x:font>
    <x:font>
      <x:sz val="11"/>
      <x:color rgb="FF0000FF"/>
      <x:name val="Aptos"/>
    </x:font>
    <x:font>
      <x:b/>
      <x:sz val="17"/>
      <x:color rgb="FFFFFFFF"/>
      <x:name val="Georgia"/>
    </x:font>
    <x:font>
      <x:i/>
      <x:sz val="10"/>
      <x:color rgb="FF3E1E45"/>
      <x:name val="Aptos"/>
    </x:font>
    <x:font>
      <x:i/>
      <x:sz val="11"/>
      <x:color rgb="FF3E1E45"/>
      <x:name val="Aptos"/>
    </x:font>
    <x:font>
      <x:sz val="10"/>
      <x:color rgb="FF176B4D"/>
      <x:name val="Aptos"/>
    </x:font>
    <x:font>
      <x:b/>
      <x:sz val="13"/>
      <x:color rgb="FFFFFFFF"/>
      <x:name val="Aptos"/>
    </x:font>
    <x:font>
      <x:b/>
      <x:sz val="16"/>
      <x:color rgb="FF1F1A24"/>
      <x:name val="Aptos"/>
    </x:font>
  </x:fonts>
  <x:fills count="9">
    <x:fill>
      <x:patternFill patternType="none"/>
    </x:fill>
    <x:fill>
      <x:patternFill patternType="gray125"/>
    </x:fill>
    <x:fill>
      <x:patternFill patternType="solid">
        <x:fgColor rgb="FFFBF7ED"/>
      </x:patternFill>
    </x:fill>
    <x:fill>
      <x:patternFill patternType="solid">
        <x:fgColor rgb="FFE8DCF1"/>
      </x:patternFill>
    </x:fill>
    <x:fill>
      <x:patternFill patternType="solid">
        <x:fgColor rgb="FFEADDC8"/>
      </x:patternFill>
    </x:fill>
    <x:fill>
      <x:patternFill patternType="solid">
        <x:fgColor rgb="FFFFF1A8"/>
      </x:patternFill>
    </x:fill>
    <x:fill>
      <x:patternFill patternType="solid">
        <x:fgColor rgb="FF176B4D"/>
      </x:patternFill>
    </x:fill>
    <x:fill>
      <x:patternFill patternType="solid">
        <x:fgColor rgb="FF3E1E45"/>
      </x:patternFill>
    </x:fill>
    <x:fill>
      <x:patternFill patternType="solid">
        <x:fgColor rgb="FFE3F2E9"/>
      </x:patternFill>
    </x:fill>
  </x:fills>
  <x:borders count="24">
    <x:border/>
    <x:border>
      <x:left style="thin">
        <x:color rgb="FFEADDC8"/>
      </x:left>
      <x:top style="thin">
        <x:color rgb="FFEADDC8"/>
      </x:top>
    </x:border>
    <x:border>
      <x:right style="thin">
        <x:color rgb="FFEADDC8"/>
      </x:right>
      <x:top style="thin">
        <x:color rgb="FFEADDC8"/>
      </x:top>
    </x:border>
    <x:border>
      <x:left style="thin">
        <x:color rgb="FFEADDC8"/>
      </x:left>
    </x:border>
    <x:border>
      <x:right style="thin">
        <x:color rgb="FFEADDC8"/>
      </x:right>
    </x:border>
    <x:border>
      <x:left style="thin">
        <x:color rgb="FFEADDC8"/>
      </x:left>
      <x:bottom style="thin">
        <x:color rgb="FFEADDC8"/>
      </x:bottom>
    </x:border>
    <x:border>
      <x:right style="thin">
        <x:color rgb="FFEADDC8"/>
      </x:right>
      <x:bottom style="thin">
        <x:color rgb="FFEADDC8"/>
      </x:bottom>
    </x:border>
    <x:border>
      <x:left style="thin">
        <x:color rgb="FFC89B3C"/>
      </x:left>
      <x:right style="thin">
        <x:color rgb="FFC89B3C"/>
      </x:right>
      <x:top style="thin">
        <x:color rgb="FFC89B3C"/>
      </x:top>
      <x:bottom style="thin">
        <x:color rgb="FFC89B3C"/>
      </x:bottom>
    </x:border>
    <x:border>
      <x:left style="thin">
        <x:color rgb="FF176B4D"/>
      </x:left>
      <x:top style="thin">
        <x:color rgb="FF176B4D"/>
      </x:top>
      <x:bottom style="thin">
        <x:color rgb="FF176B4D"/>
      </x:bottom>
    </x:border>
    <x:border>
      <x:top style="thin">
        <x:color rgb="FF176B4D"/>
      </x:top>
      <x:bottom style="thin">
        <x:color rgb="FF176B4D"/>
      </x:bottom>
    </x:border>
    <x:border>
      <x:right style="thin">
        <x:color rgb="FF176B4D"/>
      </x:right>
      <x:top style="thin">
        <x:color rgb="FF176B4D"/>
      </x:top>
      <x:bottom style="thin">
        <x:color rgb="FF176B4D"/>
      </x:bottom>
    </x:border>
    <x:border>
      <x:bottom style="thin">
        <x:color rgb="FFEADDC8"/>
      </x:bottom>
    </x:border>
    <x:border>
      <x:top style="thin">
        <x:color rgb="FFEADDC8"/>
      </x:top>
      <x:bottom style="thin">
        <x:color rgb="FFEADDC8"/>
      </x:bottom>
    </x:border>
    <x:border>
      <x:left style="thin">
        <x:color rgb="FF176B4D"/>
      </x:left>
      <x:top style="thin">
        <x:color rgb="FF176B4D"/>
      </x:top>
      <x:bottom style="thin">
        <x:color rgb="FFE9E3D8"/>
      </x:bottom>
    </x:border>
    <x:border>
      <x:top style="thin">
        <x:color rgb="FF176B4D"/>
      </x:top>
      <x:bottom style="thin">
        <x:color rgb="FFE9E3D8"/>
      </x:bottom>
    </x:border>
    <x:border>
      <x:left style="thin">
        <x:color rgb="FF176B4D"/>
      </x:left>
      <x:top style="thin">
        <x:color rgb="FFE9E3D8"/>
      </x:top>
      <x:bottom style="thin">
        <x:color rgb="FFE9E3D8"/>
      </x:bottom>
    </x:border>
    <x:border>
      <x:top style="thin">
        <x:color rgb="FFE9E3D8"/>
      </x:top>
      <x:bottom style="thin">
        <x:color rgb="FFE9E3D8"/>
      </x:bottom>
    </x:border>
    <x:border>
      <x:left style="thin">
        <x:color rgb="FF176B4D"/>
      </x:left>
      <x:top style="thin">
        <x:color rgb="FFE9E3D8"/>
      </x:top>
      <x:bottom style="thin">
        <x:color rgb="FFEADDC8"/>
      </x:bottom>
    </x:border>
    <x:border>
      <x:top style="thin">
        <x:color rgb="FFE9E3D8"/>
      </x:top>
      <x:bottom style="thin">
        <x:color rgb="FFEADDC8"/>
      </x:bottom>
    </x:border>
    <x:border>
      <x:top style="double">
        <x:color rgb="FF3E1E45"/>
      </x:top>
    </x:border>
    <x:border>
      <x:top style="thin">
        <x:color rgb="FF3E1E45"/>
      </x:top>
    </x:border>
    <x:border>
      <x:left style="thin">
        <x:color rgb="FF176B4D"/>
      </x:left>
      <x:top style="thin">
        <x:color rgb="FF176B4D"/>
      </x:top>
      <x:bottom style="thin">
        <x:color rgb="FFEADDC8"/>
      </x:bottom>
    </x:border>
    <x:border>
      <x:top style="thin">
        <x:color rgb="FF176B4D"/>
      </x:top>
      <x:bottom style="thin">
        <x:color rgb="FFEADDC8"/>
      </x:bottom>
    </x:border>
    <x:border>
      <x:left style="thin">
        <x:color rgb="FF176B4D"/>
      </x:left>
      <x:top style="thin">
        <x:color rgb="FFEADDC8"/>
      </x:top>
      <x:bottom style="thin">
        <x:color rgb="FFEADDC8"/>
      </x:bottom>
    </x:border>
  </x:borders>
  <x:cellStyleXfs count="1">
    <x:xf numFmtId="0" fontId="0" fillId="0" borderId="0"/>
  </x:cellStyleXfs>
  <x:cellXfs count="220">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4" fillId="2" borderId="0" xfId="0" applyNumberFormat="1" applyFont="1" applyFill="1" applyBorder="1"/>
    <x:xf numFmtId="200" fontId="1" fillId="2" borderId="0" xfId="0" applyNumberFormat="1" applyFont="1" applyFill="1" applyBorder="1"/>
    <x:xf numFmtId="0" fontId="4" fillId="2" borderId="1" xfId="0" applyNumberFormat="1" applyFont="1" applyFill="1" applyBorder="1"/>
    <x:xf numFmtId="0" fontId="1" fillId="2" borderId="2" xfId="0" applyNumberFormat="1" applyFont="1" applyFill="1" applyBorder="1"/>
    <x:xf numFmtId="0" fontId="4" fillId="2" borderId="3" xfId="0" applyNumberFormat="1" applyFont="1" applyFill="1" applyBorder="1"/>
    <x:xf numFmtId="200" fontId="1" fillId="2" borderId="4" xfId="0" applyNumberFormat="1" applyFont="1" applyFill="1" applyBorder="1"/>
    <x:xf numFmtId="0" fontId="1" fillId="2" borderId="4" xfId="0" applyNumberFormat="1" applyFont="1" applyFill="1" applyBorder="1"/>
    <x:xf numFmtId="0" fontId="4" fillId="2" borderId="5" xfId="0" applyNumberFormat="1" applyFont="1" applyFill="1" applyBorder="1"/>
    <x:xf numFmtId="0" fontId="1" fillId="2" borderId="6" xfId="0" applyNumberFormat="1" applyFont="1" applyFill="1" applyBorder="1" applyAlignment="1">
      <x:alignment wrapText="1"/>
    </x:xf>
    <x:xf numFmtId="0" fontId="1"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1"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1" fillId="5" borderId="0" xfId="0" applyNumberFormat="1" applyFont="1" applyFill="1" applyBorder="1"/>
    <x:xf numFmtId="0" fontId="8" fillId="5" borderId="0" xfId="0" applyNumberFormat="1" applyFont="1" applyFill="1" applyBorder="1"/>
    <x:xf numFmtId="0" fontId="8" fillId="5" borderId="7" xfId="0" applyNumberFormat="1" applyFont="1" applyFill="1" applyBorder="1"/>
    <x:xf numFmtId="0" fontId="8" fillId="5" borderId="7"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1" fillId="6" borderId="0" xfId="0" applyNumberFormat="1" applyFont="1" applyFill="1" applyBorder="1"/>
    <x:xf numFmtId="0" fontId="10" fillId="6" borderId="0" xfId="0" applyNumberFormat="1" applyFont="1" applyFill="1" applyBorder="1"/>
    <x:xf numFmtId="0" fontId="10" fillId="6" borderId="8" xfId="0" applyNumberFormat="1" applyFont="1" applyFill="1" applyBorder="1"/>
    <x:xf numFmtId="0" fontId="10" fillId="6" borderId="9" xfId="0" applyNumberFormat="1" applyFont="1" applyFill="1" applyBorder="1"/>
    <x:xf numFmtId="0" fontId="10" fillId="6" borderId="10" xfId="0" applyNumberFormat="1" applyFont="1" applyFill="1" applyBorder="1"/>
    <x:xf numFmtId="0" fontId="10" fillId="6" borderId="8" xfId="0" applyNumberFormat="1" applyFont="1" applyFill="1" applyBorder="1" applyAlignment="1">
      <x:alignment wrapText="1"/>
    </x:xf>
    <x:xf numFmtId="0" fontId="10" fillId="6" borderId="9" xfId="0" applyNumberFormat="1" applyFont="1" applyFill="1" applyBorder="1" applyAlignment="1">
      <x:alignment wrapText="1"/>
    </x:xf>
    <x:xf numFmtId="0" fontId="10" fillId="6" borderId="10" xfId="0" applyNumberFormat="1" applyFont="1" applyFill="1" applyBorder="1" applyAlignment="1">
      <x:alignment wrapText="1"/>
    </x:xf>
    <x:xf numFmtId="0" fontId="10" fillId="6" borderId="8" xfId="0" applyNumberFormat="1" applyFont="1" applyFill="1" applyBorder="1" applyAlignment="1">
      <x:alignment vertical="center" wrapText="1"/>
    </x:xf>
    <x:xf numFmtId="0" fontId="10" fillId="6" borderId="9" xfId="0" applyNumberFormat="1" applyFont="1" applyFill="1" applyBorder="1" applyAlignment="1">
      <x:alignment vertical="center" wrapText="1"/>
    </x:xf>
    <x:xf numFmtId="0" fontId="10" fillId="6" borderId="10" xfId="0" applyNumberFormat="1" applyFont="1" applyFill="1" applyBorder="1" applyAlignment="1">
      <x:alignment vertical="center" wrapText="1"/>
    </x:xf>
    <x:xf numFmtId="201" fontId="1" fillId="2" borderId="0" xfId="0" applyNumberFormat="1" applyFont="1" applyFill="1" applyBorder="1"/>
    <x:xf numFmtId="201" fontId="11" fillId="2" borderId="0" xfId="0" applyNumberFormat="1" applyFont="1" applyFill="1" applyBorder="1"/>
    <x:xf numFmtId="202" fontId="1" fillId="2" borderId="0" xfId="0" applyNumberFormat="1" applyFont="1" applyFill="1" applyBorder="1"/>
    <x:xf numFmtId="202" fontId="11" fillId="2" borderId="0" xfId="0" applyNumberFormat="1" applyFont="1" applyFill="1" applyBorder="1"/>
    <x:xf numFmtId="203" fontId="1" fillId="2" borderId="0" xfId="0" applyNumberFormat="1" applyFont="1" applyFill="1" applyBorder="1"/>
    <x:xf numFmtId="203" fontId="11" fillId="2" borderId="0" xfId="0" applyNumberFormat="1" applyFont="1" applyFill="1" applyBorder="1"/>
    <x:xf numFmtId="0" fontId="1" fillId="2" borderId="11" xfId="0" applyNumberFormat="1" applyFont="1" applyFill="1" applyBorder="1"/>
    <x:xf numFmtId="201" fontId="11" fillId="2" borderId="11" xfId="0" applyNumberFormat="1" applyFont="1" applyFill="1" applyBorder="1"/>
    <x:xf numFmtId="0" fontId="1" fillId="2" borderId="12" xfId="0" applyNumberFormat="1" applyFont="1" applyFill="1" applyBorder="1"/>
    <x:xf numFmtId="202" fontId="11" fillId="2" borderId="12" xfId="0" applyNumberFormat="1" applyFont="1" applyFill="1" applyBorder="1"/>
    <x:xf numFmtId="203" fontId="11" fillId="2" borderId="12" xfId="0" applyNumberFormat="1" applyFont="1" applyFill="1" applyBorder="1"/>
    <x:xf numFmtId="0" fontId="1" fillId="3" borderId="12" xfId="0" applyNumberFormat="1" applyFont="1" applyFill="1" applyBorder="1"/>
    <x:xf numFmtId="202" fontId="11" fillId="3" borderId="12" xfId="0" applyNumberFormat="1" applyFont="1" applyFill="1" applyBorder="1"/>
    <x:xf numFmtId="0" fontId="12" fillId="3" borderId="12" xfId="0" applyNumberFormat="1" applyFont="1" applyFill="1" applyBorder="1"/>
    <x:xf numFmtId="202" fontId="9" fillId="3" borderId="12" xfId="0" applyNumberFormat="1" applyFont="1" applyFill="1" applyBorder="1"/>
    <x:xf numFmtId="0" fontId="1" fillId="4" borderId="12" xfId="0" applyNumberFormat="1" applyFont="1" applyFill="1" applyBorder="1"/>
    <x:xf numFmtId="202" fontId="11" fillId="4" borderId="12" xfId="0" applyNumberFormat="1" applyFont="1" applyFill="1" applyBorder="1"/>
    <x:xf numFmtId="0" fontId="12" fillId="4" borderId="12" xfId="0" applyNumberFormat="1" applyFont="1" applyFill="1" applyBorder="1"/>
    <x:xf numFmtId="202" fontId="9" fillId="4" borderId="12" xfId="0" applyNumberFormat="1" applyFont="1" applyFill="1" applyBorder="1"/>
    <x:xf numFmtId="204" fontId="1" fillId="2" borderId="0" xfId="0" applyNumberFormat="1" applyFont="1" applyFill="1" applyBorder="1"/>
    <x:xf numFmtId="204" fontId="11" fillId="2" borderId="0" xfId="0" applyNumberFormat="1" applyFont="1" applyFill="1" applyBorder="1"/>
    <x:xf numFmtId="204" fontId="11" fillId="2" borderId="11" xfId="0" applyNumberFormat="1" applyFont="1" applyFill="1" applyBorder="1"/>
    <x:xf numFmtId="204" fontId="11" fillId="2" borderId="12" xfId="0" applyNumberFormat="1" applyFont="1" applyFill="1" applyBorder="1"/>
    <x:xf numFmtId="0" fontId="1" fillId="0" borderId="0" xfId="0" applyNumberFormat="1" applyFont="1" applyFill="1" applyBorder="1"/>
    <x:xf numFmtId="0" fontId="1"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vertical="center"/>
    </x:xf>
    <x:xf numFmtId="0" fontId="14" fillId="2" borderId="0" xfId="0" applyNumberFormat="1" applyFont="1" applyFill="1" applyBorder="1"/>
    <x:xf numFmtId="0" fontId="14" fillId="2" borderId="0" xfId="0" applyNumberFormat="1" applyFont="1" applyFill="1" applyBorder="1" applyAlignment="1">
      <x:alignment wrapText="1"/>
    </x:xf>
    <x:xf numFmtId="0" fontId="10" fillId="7" borderId="0" xfId="0" applyNumberFormat="1" applyFont="1" applyFill="1" applyBorder="1"/>
    <x:xf numFmtId="0" fontId="10" fillId="7" borderId="0" xfId="0" applyNumberFormat="1" applyFont="1" applyFill="1" applyBorder="1" applyAlignment="1">
      <x:alignment vertical="center"/>
    </x:xf>
    <x:xf numFmtId="0" fontId="15" fillId="5" borderId="0" xfId="0" applyNumberFormat="1" applyFont="1" applyFill="1" applyBorder="1"/>
    <x:xf numFmtId="0" fontId="1" fillId="8" borderId="0" xfId="0" applyNumberFormat="1" applyFont="1" applyFill="1" applyBorder="1"/>
    <x:xf numFmtId="0" fontId="12" fillId="8" borderId="0" xfId="0" applyNumberFormat="1" applyFont="1" applyFill="1" applyBorder="1"/>
    <x:xf numFmtId="203" fontId="15" fillId="5" borderId="0" xfId="0" applyNumberFormat="1" applyFont="1" applyFill="1" applyBorder="1"/>
    <x:xf numFmtId="203" fontId="1" fillId="0" borderId="0" xfId="0" applyNumberFormat="1" applyFont="1" applyFill="1" applyBorder="1"/>
    <x:xf numFmtId="203" fontId="12" fillId="8" borderId="0" xfId="0" applyNumberFormat="1" applyFont="1" applyFill="1" applyBorder="1"/>
    <x:xf numFmtId="202" fontId="15" fillId="5" borderId="0" xfId="0" applyNumberFormat="1" applyFont="1" applyFill="1" applyBorder="1"/>
    <x:xf numFmtId="202" fontId="1" fillId="0" borderId="0" xfId="0" applyNumberFormat="1" applyFont="1" applyFill="1" applyBorder="1"/>
    <x:xf numFmtId="202" fontId="12" fillId="8" borderId="0" xfId="0" applyNumberFormat="1" applyFont="1" applyFill="1" applyBorder="1"/>
    <x:xf numFmtId="205" fontId="15" fillId="5" borderId="0" xfId="0" applyNumberFormat="1" applyFont="1" applyFill="1" applyBorder="1"/>
    <x:xf numFmtId="205" fontId="1" fillId="0" borderId="0" xfId="0" applyNumberFormat="1" applyFont="1" applyFill="1" applyBorder="1"/>
    <x:xf numFmtId="205" fontId="12" fillId="8" borderId="0" xfId="0" applyNumberFormat="1" applyFont="1" applyFill="1" applyBorder="1"/>
    <x:xf numFmtId="206" fontId="15" fillId="5" borderId="0" xfId="0" applyNumberFormat="1" applyFont="1" applyFill="1" applyBorder="1"/>
    <x:xf numFmtId="206" fontId="1" fillId="0" borderId="0" xfId="0" applyNumberFormat="1" applyFont="1" applyFill="1" applyBorder="1"/>
    <x:xf numFmtId="206" fontId="12" fillId="8" borderId="0" xfId="0" applyNumberFormat="1" applyFont="1" applyFill="1" applyBorder="1"/>
    <x:xf numFmtId="207" fontId="15" fillId="5" borderId="0" xfId="0" applyNumberFormat="1" applyFont="1" applyFill="1" applyBorder="1"/>
    <x:xf numFmtId="207" fontId="1" fillId="0" borderId="0" xfId="0" applyNumberFormat="1" applyFont="1" applyFill="1" applyBorder="1"/>
    <x:xf numFmtId="207" fontId="12" fillId="8" borderId="0" xfId="0" applyNumberFormat="1" applyFont="1" applyFill="1" applyBorder="1"/>
    <x:xf numFmtId="0" fontId="10" fillId="6" borderId="13" xfId="0" applyNumberFormat="1" applyFont="1" applyFill="1" applyBorder="1" applyAlignment="1">
      <x:alignment vertical="center" wrapText="1"/>
    </x:xf>
    <x:xf numFmtId="0" fontId="10" fillId="6" borderId="14" xfId="0" applyNumberFormat="1" applyFont="1" applyFill="1" applyBorder="1" applyAlignment="1">
      <x:alignment vertical="center" wrapText="1"/>
    </x:xf>
    <x:xf numFmtId="0" fontId="1" fillId="0" borderId="15" xfId="0" applyNumberFormat="1" applyFont="1" applyFill="1" applyBorder="1"/>
    <x:xf numFmtId="0" fontId="1" fillId="0" borderId="16" xfId="0" applyNumberFormat="1" applyFont="1" applyFill="1" applyBorder="1"/>
    <x:xf numFmtId="206" fontId="15" fillId="5" borderId="16" xfId="0" applyNumberFormat="1" applyFont="1" applyFill="1" applyBorder="1"/>
    <x:xf numFmtId="206" fontId="1" fillId="0" borderId="16" xfId="0" applyNumberFormat="1" applyFont="1" applyFill="1" applyBorder="1"/>
    <x:xf numFmtId="206" fontId="12" fillId="8" borderId="16" xfId="0" applyNumberFormat="1" applyFont="1" applyFill="1" applyBorder="1"/>
    <x:xf numFmtId="203" fontId="15" fillId="5" borderId="16" xfId="0" applyNumberFormat="1" applyFont="1" applyFill="1" applyBorder="1"/>
    <x:xf numFmtId="203" fontId="1" fillId="0" borderId="16" xfId="0" applyNumberFormat="1" applyFont="1" applyFill="1" applyBorder="1"/>
    <x:xf numFmtId="203" fontId="12" fillId="8" borderId="16" xfId="0" applyNumberFormat="1" applyFont="1" applyFill="1" applyBorder="1"/>
    <x:xf numFmtId="202" fontId="15" fillId="5" borderId="16" xfId="0" applyNumberFormat="1" applyFont="1" applyFill="1" applyBorder="1"/>
    <x:xf numFmtId="202" fontId="1" fillId="0" borderId="16" xfId="0" applyNumberFormat="1" applyFont="1" applyFill="1" applyBorder="1"/>
    <x:xf numFmtId="202" fontId="12" fillId="8" borderId="16" xfId="0" applyNumberFormat="1" applyFont="1" applyFill="1" applyBorder="1"/>
    <x:xf numFmtId="0" fontId="10" fillId="7" borderId="15" xfId="0" applyNumberFormat="1" applyFont="1" applyFill="1" applyBorder="1" applyAlignment="1">
      <x:alignment vertical="center"/>
    </x:xf>
    <x:xf numFmtId="0" fontId="10" fillId="7" borderId="16" xfId="0" applyNumberFormat="1" applyFont="1" applyFill="1" applyBorder="1" applyAlignment="1">
      <x:alignment vertical="center"/>
    </x:xf>
    <x:xf numFmtId="205" fontId="15" fillId="5" borderId="16" xfId="0" applyNumberFormat="1" applyFont="1" applyFill="1" applyBorder="1"/>
    <x:xf numFmtId="205" fontId="1" fillId="0" borderId="16" xfId="0" applyNumberFormat="1" applyFont="1" applyFill="1" applyBorder="1"/>
    <x:xf numFmtId="205" fontId="12" fillId="8" borderId="16" xfId="0" applyNumberFormat="1" applyFont="1" applyFill="1" applyBorder="1"/>
    <x:xf numFmtId="207" fontId="15" fillId="5" borderId="16" xfId="0" applyNumberFormat="1" applyFont="1" applyFill="1" applyBorder="1"/>
    <x:xf numFmtId="207" fontId="1" fillId="0" borderId="16" xfId="0" applyNumberFormat="1" applyFont="1" applyFill="1" applyBorder="1"/>
    <x:xf numFmtId="207" fontId="12" fillId="8"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202" fontId="15" fillId="5" borderId="18" xfId="0" applyNumberFormat="1" applyFont="1" applyFill="1" applyBorder="1"/>
    <x:xf numFmtId="202" fontId="1" fillId="0" borderId="18" xfId="0" applyNumberFormat="1" applyFont="1" applyFill="1" applyBorder="1"/>
    <x:xf numFmtId="202" fontId="12" fillId="8" borderId="18" xfId="0" applyNumberFormat="1" applyFont="1" applyFill="1" applyBorder="1"/>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206" fontId="15" fillId="5" borderId="16" xfId="0" applyNumberFormat="1" applyFont="1" applyFill="1" applyBorder="1" applyAlignment="1">
      <x:alignment wrapText="1"/>
    </x:xf>
    <x:xf numFmtId="206" fontId="1" fillId="0" borderId="16" xfId="0" applyNumberFormat="1" applyFont="1" applyFill="1" applyBorder="1" applyAlignment="1">
      <x:alignment wrapText="1"/>
    </x:xf>
    <x:xf numFmtId="206" fontId="12" fillId="8" borderId="16" xfId="0" applyNumberFormat="1" applyFont="1" applyFill="1" applyBorder="1" applyAlignment="1">
      <x:alignment wrapText="1"/>
    </x:xf>
    <x:xf numFmtId="203" fontId="15" fillId="5" borderId="16" xfId="0" applyNumberFormat="1" applyFont="1" applyFill="1" applyBorder="1" applyAlignment="1">
      <x:alignment wrapText="1"/>
    </x:xf>
    <x:xf numFmtId="203" fontId="1" fillId="0" borderId="16" xfId="0" applyNumberFormat="1" applyFont="1" applyFill="1" applyBorder="1" applyAlignment="1">
      <x:alignment wrapText="1"/>
    </x:xf>
    <x:xf numFmtId="203" fontId="12" fillId="8" borderId="16" xfId="0" applyNumberFormat="1" applyFont="1" applyFill="1" applyBorder="1" applyAlignment="1">
      <x:alignment wrapText="1"/>
    </x:xf>
    <x:xf numFmtId="202" fontId="15" fillId="5" borderId="16" xfId="0" applyNumberFormat="1" applyFont="1" applyFill="1" applyBorder="1" applyAlignment="1">
      <x:alignment wrapText="1"/>
    </x:xf>
    <x:xf numFmtId="202" fontId="1" fillId="0" borderId="16" xfId="0" applyNumberFormat="1" applyFont="1" applyFill="1" applyBorder="1" applyAlignment="1">
      <x:alignment wrapText="1"/>
    </x:xf>
    <x:xf numFmtId="202" fontId="12" fillId="8" borderId="16" xfId="0" applyNumberFormat="1" applyFont="1" applyFill="1" applyBorder="1" applyAlignment="1">
      <x:alignment wrapText="1"/>
    </x:xf>
    <x:xf numFmtId="0" fontId="10" fillId="7" borderId="15" xfId="0" applyNumberFormat="1" applyFont="1" applyFill="1" applyBorder="1" applyAlignment="1">
      <x:alignment vertical="center" wrapText="1"/>
    </x:xf>
    <x:xf numFmtId="0" fontId="10" fillId="7" borderId="16" xfId="0" applyNumberFormat="1" applyFont="1" applyFill="1" applyBorder="1" applyAlignment="1">
      <x:alignment vertical="center" wrapText="1"/>
    </x:xf>
    <x:xf numFmtId="205" fontId="15" fillId="5" borderId="16" xfId="0" applyNumberFormat="1" applyFont="1" applyFill="1" applyBorder="1" applyAlignment="1">
      <x:alignment wrapText="1"/>
    </x:xf>
    <x:xf numFmtId="205" fontId="1" fillId="0" borderId="16" xfId="0" applyNumberFormat="1" applyFont="1" applyFill="1" applyBorder="1" applyAlignment="1">
      <x:alignment wrapText="1"/>
    </x:xf>
    <x:xf numFmtId="205" fontId="12" fillId="8" borderId="16" xfId="0" applyNumberFormat="1" applyFont="1" applyFill="1" applyBorder="1" applyAlignment="1">
      <x:alignment wrapText="1"/>
    </x:xf>
    <x:xf numFmtId="207" fontId="15" fillId="5" borderId="16" xfId="0" applyNumberFormat="1" applyFont="1" applyFill="1" applyBorder="1" applyAlignment="1">
      <x:alignment wrapText="1"/>
    </x:xf>
    <x:xf numFmtId="207" fontId="1" fillId="0" borderId="16" xfId="0" applyNumberFormat="1" applyFont="1" applyFill="1" applyBorder="1" applyAlignment="1">
      <x:alignment wrapText="1"/>
    </x:xf>
    <x:xf numFmtId="207" fontId="12" fillId="8" borderId="16" xfId="0" applyNumberFormat="1" applyFont="1" applyFill="1" applyBorder="1" applyAlignment="1">
      <x:alignment wrapText="1"/>
    </x:xf>
    <x:xf numFmtId="0" fontId="1" fillId="0" borderId="17" xfId="0" applyNumberFormat="1" applyFont="1" applyFill="1" applyBorder="1" applyAlignment="1">
      <x:alignment wrapText="1"/>
    </x:xf>
    <x:xf numFmtId="0" fontId="1" fillId="0" borderId="18" xfId="0" applyNumberFormat="1" applyFont="1" applyFill="1" applyBorder="1" applyAlignment="1">
      <x:alignment wrapText="1"/>
    </x:xf>
    <x:xf numFmtId="202" fontId="15" fillId="5" borderId="18" xfId="0" applyNumberFormat="1" applyFont="1" applyFill="1" applyBorder="1" applyAlignment="1">
      <x:alignment wrapText="1"/>
    </x:xf>
    <x:xf numFmtId="202" fontId="1" fillId="0" borderId="18" xfId="0" applyNumberFormat="1" applyFont="1" applyFill="1" applyBorder="1" applyAlignment="1">
      <x:alignment wrapText="1"/>
    </x:xf>
    <x:xf numFmtId="202" fontId="12" fillId="8" borderId="18" xfId="0" applyNumberFormat="1" applyFont="1" applyFill="1" applyBorder="1" applyAlignment="1">
      <x:alignment wrapText="1"/>
    </x:xf>
    <x:xf numFmtId="0" fontId="16" fillId="7" borderId="0" xfId="0" applyNumberFormat="1" applyFont="1" applyFill="1" applyBorder="1"/>
    <x:xf numFmtId="0" fontId="16" fillId="7" borderId="0" xfId="0" applyNumberFormat="1" applyFont="1" applyFill="1" applyBorder="1" applyAlignment="1">
      <x:alignment vertical="center"/>
    </x:xf>
    <x:xf numFmtId="0" fontId="17" fillId="2" borderId="0" xfId="0" applyNumberFormat="1" applyFont="1" applyFill="1" applyBorder="1"/>
    <x:xf numFmtId="0" fontId="17" fillId="2" borderId="0" xfId="0" applyNumberFormat="1" applyFont="1" applyFill="1" applyBorder="1" applyAlignment="1">
      <x:alignment wrapText="1"/>
    </x:xf>
    <x:xf numFmtId="0" fontId="17" fillId="2" borderId="0" xfId="0" applyNumberFormat="1" applyFont="1" applyFill="1" applyBorder="1" applyAlignment="1">
      <x:alignment vertical="center" wrapText="1"/>
    </x:xf>
    <x:xf numFmtId="0" fontId="4" fillId="3" borderId="0" xfId="0" applyNumberFormat="1" applyFont="1" applyFill="1" applyBorder="1"/>
    <x:xf numFmtId="0" fontId="4" fillId="3" borderId="19" xfId="0" applyNumberFormat="1" applyFont="1" applyFill="1" applyBorder="1"/>
    <x:xf numFmtId="208" fontId="15" fillId="5" borderId="0" xfId="0" applyNumberFormat="1" applyFont="1" applyFill="1" applyBorder="1"/>
    <x:xf numFmtId="201" fontId="15" fillId="5" borderId="0" xfId="0" applyNumberFormat="1" applyFont="1" applyFill="1" applyBorder="1"/>
    <x:xf numFmtId="202" fontId="4" fillId="3" borderId="19" xfId="0" applyNumberFormat="1" applyFont="1" applyFill="1" applyBorder="1"/>
    <x:xf numFmtId="208" fontId="15" fillId="5" borderId="16" xfId="0" applyNumberFormat="1" applyFont="1" applyFill="1" applyBorder="1"/>
    <x:xf numFmtId="0" fontId="15" fillId="5" borderId="16" xfId="0" applyNumberFormat="1" applyFont="1" applyFill="1" applyBorder="1"/>
    <x:xf numFmtId="201" fontId="15" fillId="5" borderId="16" xfId="0" applyNumberFormat="1" applyFont="1" applyFill="1" applyBorder="1"/>
    <x:xf numFmtId="0" fontId="4" fillId="3" borderId="17" xfId="0" applyNumberFormat="1" applyFont="1" applyFill="1" applyBorder="1"/>
    <x:xf numFmtId="0" fontId="4" fillId="3" borderId="18" xfId="0" applyNumberFormat="1" applyFont="1" applyFill="1" applyBorder="1"/>
    <x:xf numFmtId="202" fontId="4" fillId="3" borderId="18" xfId="0" applyNumberFormat="1" applyFont="1" applyFill="1" applyBorder="1"/>
    <x:xf numFmtId="208" fontId="15" fillId="5" borderId="16" xfId="0" applyNumberFormat="1" applyFont="1" applyFill="1" applyBorder="1" applyAlignment="1">
      <x:alignment wrapText="1"/>
    </x:xf>
    <x:xf numFmtId="0" fontId="15" fillId="5" borderId="16" xfId="0" applyNumberFormat="1" applyFont="1" applyFill="1" applyBorder="1" applyAlignment="1">
      <x:alignment wrapText="1"/>
    </x:xf>
    <x:xf numFmtId="201" fontId="15" fillId="5" borderId="16" xfId="0" applyNumberFormat="1" applyFont="1" applyFill="1" applyBorder="1" applyAlignment="1">
      <x:alignment wrapText="1"/>
    </x:xf>
    <x:xf numFmtId="0" fontId="4" fillId="3" borderId="17" xfId="0" applyNumberFormat="1" applyFont="1" applyFill="1" applyBorder="1" applyAlignment="1">
      <x:alignment wrapText="1"/>
    </x:xf>
    <x:xf numFmtId="0" fontId="4" fillId="3" borderId="18" xfId="0" applyNumberFormat="1" applyFont="1" applyFill="1" applyBorder="1" applyAlignment="1">
      <x:alignment wrapText="1"/>
    </x:xf>
    <x:xf numFmtId="202" fontId="4" fillId="3" borderId="18" xfId="0" applyNumberFormat="1" applyFont="1" applyFill="1" applyBorder="1" applyAlignment="1">
      <x:alignment wrapText="1"/>
    </x:xf>
    <x:xf numFmtId="209" fontId="1" fillId="0" borderId="0" xfId="0" applyNumberFormat="1" applyFont="1" applyFill="1" applyBorder="1"/>
    <x:xf numFmtId="201" fontId="1" fillId="0" borderId="0" xfId="0" applyNumberFormat="1" applyFont="1" applyFill="1" applyBorder="1"/>
    <x:xf numFmtId="209" fontId="11" fillId="0" borderId="0" xfId="0" applyNumberFormat="1" applyFont="1" applyFill="1" applyBorder="1"/>
    <x:xf numFmtId="201" fontId="11" fillId="0" borderId="0" xfId="0" applyNumberFormat="1" applyFont="1" applyFill="1" applyBorder="1"/>
    <x:xf numFmtId="0" fontId="11" fillId="0" borderId="0" xfId="0" applyNumberFormat="1" applyFont="1" applyFill="1" applyBorder="1"/>
    <x:xf numFmtId="0" fontId="9" fillId="7" borderId="0" xfId="0" applyNumberFormat="1" applyFont="1" applyFill="1" applyBorder="1" applyAlignment="1">
      <x:alignment vertical="center"/>
    </x:xf>
    <x:xf numFmtId="202" fontId="11" fillId="0" borderId="0" xfId="0" applyNumberFormat="1" applyFont="1" applyFill="1" applyBorder="1"/>
    <x:xf numFmtId="202" fontId="9" fillId="7" borderId="0" xfId="0" applyNumberFormat="1" applyFont="1" applyFill="1" applyBorder="1" applyAlignment="1">
      <x:alignment vertical="center"/>
    </x:xf>
    <x:xf numFmtId="203" fontId="11" fillId="0" borderId="0" xfId="0" applyNumberFormat="1" applyFont="1" applyFill="1" applyBorder="1"/>
    <x:xf numFmtId="0" fontId="12" fillId="0" borderId="0" xfId="0" applyNumberFormat="1" applyFont="1" applyFill="1" applyBorder="1"/>
    <x:xf numFmtId="202" fontId="9" fillId="0" borderId="0" xfId="0" applyNumberFormat="1" applyFont="1" applyFill="1" applyBorder="1"/>
    <x:xf numFmtId="0" fontId="12" fillId="0" borderId="20" xfId="0" applyNumberFormat="1" applyFont="1" applyFill="1" applyBorder="1"/>
    <x:xf numFmtId="202" fontId="9" fillId="0" borderId="20" xfId="0" applyNumberFormat="1" applyFont="1" applyFill="1" applyBorder="1"/>
    <x:xf numFmtId="0" fontId="12" fillId="0" borderId="19" xfId="0" applyNumberFormat="1" applyFont="1" applyFill="1" applyBorder="1"/>
    <x:xf numFmtId="202" fontId="9" fillId="0" borderId="19" xfId="0" applyNumberFormat="1" applyFont="1" applyFill="1" applyBorder="1"/>
    <x:xf numFmtId="0" fontId="12" fillId="3" borderId="19" xfId="0" applyNumberFormat="1" applyFont="1" applyFill="1" applyBorder="1"/>
    <x:xf numFmtId="202" fontId="9" fillId="3" borderId="19" xfId="0" applyNumberFormat="1" applyFont="1" applyFill="1" applyBorder="1"/>
    <x:xf numFmtId="202" fontId="11" fillId="4" borderId="0" xfId="0" applyNumberFormat="1" applyFont="1" applyFill="1" applyBorder="1"/>
    <x:xf numFmtId="0" fontId="1" fillId="0" borderId="0" xfId="0" applyNumberFormat="1" applyFont="1" applyFill="1" applyBorder="1" applyAlignment="1">
      <x:alignment wrapText="1"/>
    </x:xf>
    <x:xf numFmtId="0" fontId="12" fillId="0" borderId="2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12" fillId="3" borderId="19" xfId="0" applyNumberFormat="1" applyFont="1" applyFill="1" applyBorder="1" applyAlignment="1">
      <x:alignment wrapText="1"/>
    </x:xf>
    <x:xf numFmtId="0" fontId="1" fillId="4" borderId="0" xfId="0" applyNumberFormat="1" applyFont="1" applyFill="1" applyBorder="1" applyAlignment="1">
      <x:alignment wrapText="1"/>
    </x:xf>
    <x:xf numFmtId="0" fontId="18" fillId="4" borderId="0" xfId="0" applyNumberFormat="1" applyFont="1" applyFill="1" applyBorder="1"/>
    <x:xf numFmtId="0" fontId="18" fillId="4" borderId="0" xfId="0" applyNumberFormat="1" applyFont="1" applyFill="1" applyBorder="1" applyAlignment="1">
      <x:alignment wrapText="1"/>
    </x:xf>
    <x:xf numFmtId="0" fontId="18" fillId="4" borderId="0" xfId="0" applyNumberFormat="1" applyFont="1" applyFill="1" applyBorder="1" applyAlignment="1">
      <x:alignment vertical="center" wrapText="1"/>
    </x:xf>
    <x:xf numFmtId="203" fontId="4" fillId="3" borderId="19" xfId="0" applyNumberFormat="1" applyFont="1" applyFill="1" applyBorder="1"/>
    <x:xf numFmtId="203" fontId="1" fillId="5" borderId="0" xfId="0" applyNumberFormat="1" applyFont="1" applyFill="1" applyBorder="1"/>
    <x:xf numFmtId="0" fontId="10" fillId="6" borderId="21" xfId="0" applyNumberFormat="1" applyFont="1" applyFill="1" applyBorder="1" applyAlignment="1">
      <x:alignment vertical="center" wrapText="1"/>
    </x:xf>
    <x:xf numFmtId="0" fontId="10" fillId="6" borderId="22" xfId="0" applyNumberFormat="1" applyFont="1" applyFill="1" applyBorder="1" applyAlignment="1">
      <x:alignment vertical="center" wrapText="1"/>
    </x:xf>
    <x:xf numFmtId="0" fontId="1" fillId="2" borderId="23" xfId="0" applyNumberFormat="1" applyFont="1" applyFill="1" applyBorder="1"/>
    <x:xf numFmtId="203" fontId="15" fillId="5" borderId="12" xfId="0" applyNumberFormat="1" applyFont="1" applyFill="1" applyBorder="1"/>
    <x:xf numFmtId="203" fontId="1" fillId="2" borderId="12" xfId="0" applyNumberFormat="1" applyFont="1" applyFill="1" applyBorder="1"/>
    <x:xf numFmtId="202" fontId="1" fillId="2" borderId="12" xfId="0" applyNumberFormat="1" applyFont="1" applyFill="1" applyBorder="1"/>
    <x:xf numFmtId="0" fontId="4" fillId="3" borderId="23" xfId="0" applyNumberFormat="1" applyFont="1" applyFill="1" applyBorder="1"/>
    <x:xf numFmtId="203" fontId="4" fillId="3" borderId="12" xfId="0" applyNumberFormat="1" applyFont="1" applyFill="1" applyBorder="1"/>
    <x:xf numFmtId="202" fontId="4" fillId="3" borderId="12" xfId="0" applyNumberFormat="1" applyFont="1" applyFill="1" applyBorder="1"/>
    <x:xf numFmtId="0" fontId="4" fillId="3" borderId="12" xfId="0" applyNumberFormat="1" applyFont="1" applyFill="1" applyBorder="1"/>
    <x:xf numFmtId="0" fontId="19" fillId="8" borderId="0" xfId="0" applyNumberFormat="1" applyFont="1" applyFill="1" applyBorder="1"/>
    <x:xf numFmtId="0" fontId="19" fillId="8" borderId="0" xfId="0" applyNumberFormat="1" applyFont="1" applyFill="1" applyBorder="1" applyAlignment="1">
      <x:alignment wrapText="1"/>
    </x:xf>
    <x:xf numFmtId="0" fontId="19" fillId="8" borderId="0" xfId="0" applyNumberFormat="1" applyFont="1" applyFill="1" applyBorder="1" applyAlignment="1">
      <x:alignment vertical="top" wrapText="1"/>
    </x:xf>
    <x:xf numFmtId="0" fontId="20" fillId="7"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horizontal="center"/>
    </x:xf>
    <x:xf numFmtId="0" fontId="1" fillId="0" borderId="23" xfId="0" applyNumberFormat="1" applyFont="1" applyFill="1" applyBorder="1"/>
    <x:xf numFmtId="206" fontId="1" fillId="0" borderId="12" xfId="0" applyNumberFormat="1" applyFont="1" applyFill="1" applyBorder="1"/>
    <x:xf numFmtId="0" fontId="1" fillId="0" borderId="12" xfId="0" applyNumberFormat="1" applyFont="1" applyFill="1" applyBorder="1"/>
    <x:xf numFmtId="0" fontId="1" fillId="0" borderId="23" xfId="0" applyNumberFormat="1" applyFont="1" applyFill="1" applyBorder="1" applyAlignment="1">
      <x:alignment wrapText="1"/>
    </x:xf>
    <x:xf numFmtId="206" fontId="1" fillId="0" borderId="12" xfId="0" applyNumberFormat="1" applyFont="1" applyFill="1" applyBorder="1" applyAlignment="1">
      <x:alignment wrapText="1"/>
    </x:xf>
    <x:xf numFmtId="0" fontId="1" fillId="0" borderId="12" xfId="0" applyNumberFormat="1" applyFont="1" applyFill="1" applyBorder="1" applyAlignment="1">
      <x:alignment wrapText="1"/>
    </x:xf>
    <x:xf numFmtId="200" fontId="1" fillId="0" borderId="0" xfId="0" applyNumberFormat="1" applyFont="1" applyFill="1" applyBorder="1"/>
    <x:xf numFmtId="200" fontId="1" fillId="0" borderId="12" xfId="0" applyNumberFormat="1" applyFont="1" applyFill="1" applyBorder="1"/>
    <x:xf numFmtId="200" fontId="1" fillId="0" borderId="12" xfId="0" applyNumberFormat="1" applyFont="1" applyFill="1" applyBorder="1" applyAlignment="1">
      <x:alignment wrapText="1"/>
    </x:xf>
  </x:cellXfs>
  <x:cellStyles count="1">
    <x:cellStyle name="Normal" xfId="0"/>
  </x:cellStyles>
  <x:dxfs count="7">
    <x:dxf>
      <x:font>
        <x:b/>
        <x:color rgb="FF176B4D"/>
      </x:font>
      <x:fill>
        <x:patternFill patternType="solid">
          <x:bgColor rgb="FFE3F2E9"/>
        </x:patternFill>
      </x:fill>
    </x:dxf>
    <x:dxf>
      <x:font>
        <x:b/>
        <x:color rgb="FFB3261E"/>
      </x:font>
      <x:fill>
        <x:patternFill patternType="solid">
          <x:bgColor rgb="FFFCE8E6"/>
        </x:patternFill>
      </x:fill>
    </x:dxf>
    <x:dxf>
      <x:font>
        <x:b/>
        <x:color rgb="FFB3261E"/>
      </x:font>
      <x:fill>
        <x:patternFill patternType="solid">
          <x:bgColor rgb="FFFCE8E6"/>
        </x:patternFill>
      </x:fill>
    </x:dxf>
    <x:dxf>
      <x:font>
        <x:b/>
        <x:color rgb="FF176B4D"/>
      </x:font>
      <x:fill>
        <x:patternFill patternType="solid">
          <x:bgColor rgb="FFE3F2E9"/>
        </x:patternFill>
      </x:fill>
    </x:dxf>
    <x:dxf>
      <x:font>
        <x:b/>
        <x:color rgb="FFB3261E"/>
      </x:font>
      <x:fill>
        <x:patternFill patternType="solid">
          <x:bgColor rgb="FFFCE8E6"/>
        </x:patternFill>
      </x:fill>
    </x:dxf>
    <x:dxf>
      <x:font>
        <x:b/>
        <x:color rgb="FF176B4D"/>
      </x:font>
      <x:fill>
        <x:patternFill patternType="solid">
          <x:bgColor rgb="FFE3F2E9"/>
        </x:patternFill>
      </x:fill>
    </x:dxf>
    <x:dxf>
      <x:font>
        <x:b/>
        <x:color rgb="FFB3261E"/>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3060e3d1fc49a8" /><Relationship Type="http://schemas.openxmlformats.org/officeDocument/2006/relationships/theme" Target="/xl/theme/theme1.xml" Id="Rd501ea07d93e4228" /><Relationship Type="http://schemas.openxmlformats.org/officeDocument/2006/relationships/sharedStrings" Target="/xl/sharedStrings.xml" Id="R0ecacded4c5c4885" /><Relationship Type="http://schemas.openxmlformats.org/officeDocument/2006/relationships/worksheet" Target="/xl/worksheets/sheet1.xml" Id="R9baf28e4aa2047f0" /><Relationship Type="http://schemas.openxmlformats.org/officeDocument/2006/relationships/worksheet" Target="/xl/worksheets/sheet2.xml" Id="R1964613bdda7429f" /><Relationship Type="http://schemas.openxmlformats.org/officeDocument/2006/relationships/worksheet" Target="/xl/worksheets/sheet3.xml" Id="R44729d0da3c9412a" /><Relationship Type="http://schemas.openxmlformats.org/officeDocument/2006/relationships/worksheet" Target="/xl/worksheets/sheet4.xml" Id="R168d670068fb48c9" /><Relationship Type="http://schemas.openxmlformats.org/officeDocument/2006/relationships/worksheet" Target="/xl/worksheets/sheet5.xml" Id="R1c6b758cfd7c44ad" /><Relationship Type="http://schemas.openxmlformats.org/officeDocument/2006/relationships/worksheet" Target="/xl/worksheets/sheet6.xml" Id="R1a819b932548419b" /><Relationship Type="http://schemas.openxmlformats.org/officeDocument/2006/relationships/worksheet" Target="/xl/worksheets/sheet7.xml" Id="R40a8b3d3ddf3440c" /><Relationship Type="http://schemas.openxmlformats.org/officeDocument/2006/relationships/worksheet" Target="/xl/worksheets/sheet8.xml" Id="Rfe58eee394bd48be" /></Relationships>
</file>

<file path=xl/drawings/_rels/drawing1.xml.rels>&#65279;<?xml version="1.0" encoding="utf-8"?><Relationships xmlns="http://schemas.openxmlformats.org/package/2006/relationships"><Relationship Type="http://schemas.openxmlformats.org/officeDocument/2006/relationships/image" Target="/xl/media/image.png" Id="R156cf660cc5e4a95" /></Relationships>
</file>

<file path=xl/drawings/_rels/drawing2.xml.rels>&#65279;<?xml version="1.0" encoding="utf-8"?><Relationships xmlns="http://schemas.openxmlformats.org/package/2006/relationships"><Relationship Type="http://schemas.openxmlformats.org/officeDocument/2006/relationships/image" Target="/xl/media/image2.png" Id="Rf1c114fb56644c66" /><Relationship Type="http://schemas.openxmlformats.org/officeDocument/2006/relationships/chart" Target="/xl/drawings/charts/chart1.xml" Id="R33d4d4d96a194821" /><Relationship Type="http://schemas.openxmlformats.org/officeDocument/2006/relationships/chart" Target="/xl/drawings/charts/chart2.xml" Id="R16bb69ad722645e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Three-year revenue, spend and result (A$)</a:t>
            </a:r>
          </a:p>
        </c:rich>
      </c:tx>
    </c:title>
    <c:plotArea>
      <c:lineChart>
        <c:grouping val="standard"/>
        <c:ser>
          <c:idx val="0"/>
          <c:order val="0"/>
          <c:tx>
            <c:v>Revenue</c:v>
          </c:tx>
          <c:marker>
            <c:symbol val="none"/>
          </c:marker>
          <c:cat>
            <c:strRef>
              <c:f>'Summary'!$J$8:$J$10</c:f>
              <c:strCache>
                <c:ptCount val="0"/>
              </c:strCache>
            </c:strRef>
          </c:cat>
          <c:val>
            <c:numRef>
              <c:f>'Summary'!$K$8:$K$10</c:f>
              <c:numCache>
                <c:formatCode>A$#,##0;[Red](A$#,##0);-</c:formatCode>
                <c:ptCount val="0"/>
              </c:numCache>
            </c:numRef>
          </c:val>
        </c:ser>
        <c:ser>
          <c:idx val="1"/>
          <c:order val="1"/>
          <c:tx>
            <c:v>Total spend</c:v>
          </c:tx>
          <c:marker>
            <c:symbol val="none"/>
          </c:marker>
          <c:cat>
            <c:strRef>
              <c:f>'Summary'!$J$8:$J$10</c:f>
              <c:strCache>
                <c:ptCount val="0"/>
              </c:strCache>
            </c:strRef>
          </c:cat>
          <c:val>
            <c:numRef>
              <c:f>'Summary'!$L$8:$L$10</c:f>
              <c:numCache>
                <c:formatCode>A$#,##0;[Red](A$#,##0);-</c:formatCode>
                <c:ptCount val="0"/>
              </c:numCache>
            </c:numRef>
          </c:val>
        </c:ser>
        <c:ser>
          <c:idx val="2"/>
          <c:order val="2"/>
          <c:tx>
            <c:v>Operating result</c:v>
          </c:tx>
          <c:marker>
            <c:symbol val="none"/>
          </c:marker>
          <c:cat>
            <c:strRef>
              <c:f>'Summary'!$J$8:$J$10</c:f>
              <c:strCache>
                <c:ptCount val="0"/>
              </c:strCache>
            </c:strRef>
          </c:cat>
          <c:val>
            <c:numRef>
              <c:f>'Summary'!$M$8:$M$10</c:f>
              <c:numCache>
                <c:formatCode>A$#,##0;[Red](A$#,##0);-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A$#,##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Year 1 spend mix (A$)</a:t>
            </a:r>
          </a:p>
        </c:rich>
      </c:tx>
    </c:title>
    <c:plotArea>
      <c:doughnutChart>
        <c:ser>
          <c:idx val="0"/>
          <c:order val="0"/>
          <c:tx>
            <c:v>A$</c:v>
          </c:tx>
          <c:cat>
            <c:strRef>
              <c:f>'Summary'!$J$14:$J$19</c:f>
              <c:strCache>
                <c:ptCount val="0"/>
              </c:strCache>
            </c:strRef>
          </c:cat>
          <c:val>
            <c:numRef>
              <c:f>'Summary'!$K$14:$K$19</c:f>
              <c:numCache>
                <c:formatCode>A$#,##0;[Red](A$#,##0);-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1</xdr:col>
      <xdr:colOff>0</xdr:colOff>
      <xdr:row>2</xdr:row>
      <xdr:rowOff>0</xdr:rowOff>
    </xdr:from>
    <xdr:ext cx="2428875" cy="2428875"/>
    <xdr:pic>
      <xdr:nvPicPr>
        <xdr:cNvPr id="1" name="662c5a2e-4d9e-40b1-9fcb-da6af6612f27"/>
        <xdr:cNvPicPr>
          <a:picLocks xmlns:a="http://schemas.openxmlformats.org/drawingml/2006/main" noChangeAspect="1"/>
        </xdr:cNvPicPr>
      </xdr:nvPicPr>
      <xdr:blipFill>
        <a:blip xmlns:r="http://schemas.openxmlformats.org/officeDocument/2006/relationships" xmlns:a="http://schemas.openxmlformats.org/drawingml/2006/main" r:embed="R156cf660cc5e4a95"/>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xdr:from>
      <xdr:col>0</xdr:col>
      <xdr:colOff>0</xdr:colOff>
      <xdr:row>18</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d4d4d96a194821"/>
        </a:graphicData>
      </a:graphic>
    </xdr:graphicFrame>
    <xdr:clientData/>
  </xdr:twoCellAnchor>
  <xdr:twoCellAnchor>
    <xdr:from>
      <xdr:col>8</xdr:col>
      <xdr:colOff>0</xdr:colOff>
      <xdr:row>20</xdr:row>
      <xdr:rowOff>0</xdr:rowOff>
    </xdr:from>
    <xdr:to>
      <xdr:col>16</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bb69ad722645e4"/>
        </a:graphicData>
      </a:graphic>
    </xdr:graphicFrame>
    <xdr:clientData/>
  </xdr:twoCellAnchor>
  <xdr:oneCellAnchor>
    <xdr:from>
      <xdr:col>13</xdr:col>
      <xdr:colOff>0</xdr:colOff>
      <xdr:row>0</xdr:row>
      <xdr:rowOff>0</xdr:rowOff>
    </xdr:from>
    <xdr:ext cx="914400" cy="914400"/>
    <xdr:pic>
      <xdr:nvPicPr>
        <xdr:cNvPr id="3" name="6f1d8c0d-191d-473c-a6c6-690cdfae51d1"/>
        <xdr:cNvPicPr>
          <a:picLocks xmlns:a="http://schemas.openxmlformats.org/drawingml/2006/main" noChangeAspect="1"/>
        </xdr:cNvPicPr>
      </xdr:nvPicPr>
      <xdr:blipFill>
        <a:blip xmlns:r="http://schemas.openxmlformats.org/officeDocument/2006/relationships" xmlns:a="http://schemas.openxmlformats.org/drawingml/2006/main" r:embed="Rf1c114fb56644c6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32e448a41614b62" /></Relationships>
</file>

<file path=xl/worksheets/_rels/sheet2.xml.rels>&#65279;<?xml version="1.0" encoding="utf-8"?><Relationships xmlns="http://schemas.openxmlformats.org/package/2006/relationships"><Relationship Type="http://schemas.openxmlformats.org/officeDocument/2006/relationships/drawing" Target="/xl/drawings/drawing2.xml" Id="R116e4a128f974145" /></Relationships>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13" hidden="0" customWidth="1"/>
    <x:col min="3" max="3" width="13" hidden="0" customWidth="1"/>
    <x:col min="4" max="4" width="13" hidden="0" customWidth="1"/>
    <x:col min="5" max="5" width="13" hidden="0" customWidth="1"/>
    <x:col min="6" max="6" width="18" hidden="0" customWidth="1"/>
    <x:col min="7" max="7" width="17" hidden="0" customWidth="1"/>
    <x:col min="8" max="8" width="4"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18" customHeight="1">
      <x:c r="A1" s="2"/>
      <x:c r="B1" s="2"/>
      <x:c r="C1" s="2"/>
      <x:c r="D1" s="2"/>
      <x:c r="E1" s="2"/>
      <x:c r="F1" s="2"/>
      <x:c r="G1" s="2"/>
      <x:c r="H1" s="2"/>
      <x:c r="I1" s="2"/>
      <x:c r="J1" s="2"/>
      <x:c r="K1" s="2"/>
      <x:c r="L1" s="2"/>
      <x:c r="M1" s="2"/>
      <x:c r="N1" s="2"/>
    </x:row>
    <x:row r="2">
      <x:c r="A2" s="2"/>
      <x:c r="B2" s="2"/>
      <x:c r="C2" s="2"/>
      <x:c r="D2" s="2"/>
      <x:c r="E2" s="2"/>
      <x:c r="F2" s="2"/>
      <x:c r="G2" s="2"/>
      <x:c r="H2" s="2"/>
      <x:c r="I2" s="2"/>
      <x:c r="J2" s="2"/>
      <x:c r="K2" s="2"/>
      <x:c r="L2" s="2"/>
      <x:c r="M2" s="2"/>
      <x:c r="N2" s="2"/>
    </x:row>
    <x:row r="3">
      <x:c r="A3" s="2"/>
      <x:c r="B3" s="2"/>
      <x:c r="C3" s="2"/>
      <x:c r="D3" s="2"/>
      <x:c r="E3" s="2"/>
      <x:c r="F3" s="4" t="str">
        <x:v>IamVogue Portal</x:v>
      </x:c>
      <x:c r="G3" s="4" t="str">
        <x:v>IamVogue Portal</x:v>
      </x:c>
      <x:c r="H3" s="4" t="str">
        <x:v>IamVogue Portal</x:v>
      </x:c>
      <x:c r="I3" s="4" t="str">
        <x:v>IamVogue Portal</x:v>
      </x:c>
      <x:c r="J3" s="4" t="str">
        <x:v>IamVogue Portal</x:v>
      </x:c>
      <x:c r="K3" s="4" t="str">
        <x:v>IamVogue Portal</x:v>
      </x:c>
      <x:c r="L3" s="4" t="str">
        <x:v>IamVogue Portal</x:v>
      </x:c>
      <x:c r="M3" s="4" t="str">
        <x:v>IamVogue Portal</x:v>
      </x:c>
      <x:c r="N3" s="4" t="str">
        <x:v>IamVogue Portal</x:v>
      </x:c>
    </x:row>
    <x:row r="4">
      <x:c r="A4" s="2"/>
      <x:c r="B4" s="2"/>
      <x:c r="C4" s="2"/>
      <x:c r="D4" s="2"/>
      <x:c r="E4" s="2"/>
      <x:c r="F4" s="4" t="str">
        <x:v>IamVogue Portal</x:v>
      </x:c>
      <x:c r="G4" s="4" t="str">
        <x:v>IamVogue Portal</x:v>
      </x:c>
      <x:c r="H4" s="4" t="str">
        <x:v>IamVogue Portal</x:v>
      </x:c>
      <x:c r="I4" s="4" t="str">
        <x:v>IamVogue Portal</x:v>
      </x:c>
      <x:c r="J4" s="4" t="str">
        <x:v>IamVogue Portal</x:v>
      </x:c>
      <x:c r="K4" s="4" t="str">
        <x:v>IamVogue Portal</x:v>
      </x:c>
      <x:c r="L4" s="4" t="str">
        <x:v>IamVogue Portal</x:v>
      </x:c>
      <x:c r="M4" s="4" t="str">
        <x:v>IamVogue Portal</x:v>
      </x:c>
      <x:c r="N4" s="4" t="str">
        <x:v>IamVogue Portal</x:v>
      </x:c>
    </x:row>
    <x:row r="5">
      <x:c r="A5" s="2"/>
      <x:c r="B5" s="2"/>
      <x:c r="C5" s="2"/>
      <x:c r="D5" s="2"/>
      <x:c r="E5" s="2"/>
      <x:c r="F5" s="7" t="str">
        <x:v>Stakeholder P&amp;L + Research Budget</x:v>
      </x:c>
      <x:c r="G5" s="7" t="str">
        <x:v>Stakeholder P&amp;L + Research Budget</x:v>
      </x:c>
      <x:c r="H5" s="7" t="str">
        <x:v>Stakeholder P&amp;L + Research Budget</x:v>
      </x:c>
      <x:c r="I5" s="7" t="str">
        <x:v>Stakeholder P&amp;L + Research Budget</x:v>
      </x:c>
      <x:c r="J5" s="7" t="str">
        <x:v>Stakeholder P&amp;L + Research Budget</x:v>
      </x:c>
      <x:c r="K5" s="7" t="str">
        <x:v>Stakeholder P&amp;L + Research Budget</x:v>
      </x:c>
      <x:c r="L5" s="7" t="str">
        <x:v>Stakeholder P&amp;L + Research Budget</x:v>
      </x:c>
      <x:c r="M5" s="7" t="str">
        <x:v>Stakeholder P&amp;L + Research Budget</x:v>
      </x:c>
      <x:c r="N5" s="7" t="str">
        <x:v>Stakeholder P&amp;L + Research Budget</x:v>
      </x:c>
    </x:row>
    <x:row r="6">
      <x:c r="A6" s="2"/>
      <x:c r="B6" s="2"/>
      <x:c r="C6" s="2"/>
      <x:c r="D6" s="2"/>
      <x:c r="E6" s="2"/>
      <x:c r="F6" s="7" t="str">
        <x:v>Stakeholder P&amp;L + Research Budget</x:v>
      </x:c>
      <x:c r="G6" s="7" t="str">
        <x:v>Stakeholder P&amp;L + Research Budget</x:v>
      </x:c>
      <x:c r="H6" s="7" t="str">
        <x:v>Stakeholder P&amp;L + Research Budget</x:v>
      </x:c>
      <x:c r="I6" s="7" t="str">
        <x:v>Stakeholder P&amp;L + Research Budget</x:v>
      </x:c>
      <x:c r="J6" s="7" t="str">
        <x:v>Stakeholder P&amp;L + Research Budget</x:v>
      </x:c>
      <x:c r="K6" s="7" t="str">
        <x:v>Stakeholder P&amp;L + Research Budget</x:v>
      </x:c>
      <x:c r="L6" s="7" t="str">
        <x:v>Stakeholder P&amp;L + Research Budget</x:v>
      </x:c>
      <x:c r="M6" s="7" t="str">
        <x:v>Stakeholder P&amp;L + Research Budget</x:v>
      </x:c>
      <x:c r="N6" s="7" t="str">
        <x:v>Stakeholder P&amp;L + Research Budget</x:v>
      </x:c>
    </x:row>
    <x:row r="7">
      <x:c r="A7" s="2"/>
      <x:c r="B7" s="2"/>
      <x:c r="C7" s="2"/>
      <x:c r="D7" s="2"/>
      <x:c r="E7" s="2"/>
      <x:c r="F7" s="7" t="str">
        <x:v>Stakeholder P&amp;L + Research Budget</x:v>
      </x:c>
      <x:c r="G7" s="7" t="str">
        <x:v>Stakeholder P&amp;L + Research Budget</x:v>
      </x:c>
      <x:c r="H7" s="7" t="str">
        <x:v>Stakeholder P&amp;L + Research Budget</x:v>
      </x:c>
      <x:c r="I7" s="7" t="str">
        <x:v>Stakeholder P&amp;L + Research Budget</x:v>
      </x:c>
      <x:c r="J7" s="7" t="str">
        <x:v>Stakeholder P&amp;L + Research Budget</x:v>
      </x:c>
      <x:c r="K7" s="7" t="str">
        <x:v>Stakeholder P&amp;L + Research Budget</x:v>
      </x:c>
      <x:c r="L7" s="7" t="str">
        <x:v>Stakeholder P&amp;L + Research Budget</x:v>
      </x:c>
      <x:c r="M7" s="7" t="str">
        <x:v>Stakeholder P&amp;L + Research Budget</x:v>
      </x:c>
      <x:c r="N7" s="7" t="str">
        <x:v>Stakeholder P&amp;L + Research Budget</x:v>
      </x:c>
    </x:row>
    <x:row r="8">
      <x:c r="A8" s="2"/>
      <x:c r="B8" s="2"/>
      <x:c r="C8" s="2"/>
      <x:c r="D8" s="2"/>
      <x:c r="E8" s="2"/>
      <x:c r="F8" s="2"/>
      <x:c r="G8" s="2"/>
      <x:c r="H8" s="2"/>
      <x:c r="I8" s="2"/>
      <x:c r="J8" s="2"/>
      <x:c r="K8" s="2"/>
      <x:c r="L8" s="2"/>
      <x:c r="M8" s="2"/>
      <x:c r="N8" s="2"/>
    </x:row>
    <x:row r="9">
      <x:c r="A9" s="2"/>
      <x:c r="B9" s="2"/>
      <x:c r="C9" s="2"/>
      <x:c r="D9" s="2"/>
      <x:c r="E9" s="2"/>
      <x:c r="F9" s="9" t="str">
        <x:v>An editable 36-month scenario model for government-funded access, ethical native partnerships, affiliate revenue, platform delivery, rights and content licensing, safeguarding, clinical support and staged human research.</x:v>
      </x:c>
      <x:c r="G9" s="9" t="str">
        <x:v>An editable 36-month scenario model for government-funded access, ethical native partnerships, affiliate revenue, platform delivery, rights and content licensing, safeguarding, clinical support and staged human research.</x:v>
      </x:c>
      <x:c r="H9" s="9" t="str">
        <x:v>An editable 36-month scenario model for government-funded access, ethical native partnerships, affiliate revenue, platform delivery, rights and content licensing, safeguarding, clinical support and staged human research.</x:v>
      </x:c>
      <x:c r="I9" s="9" t="str">
        <x:v>An editable 36-month scenario model for government-funded access, ethical native partnerships, affiliate revenue, platform delivery, rights and content licensing, safeguarding, clinical support and staged human research.</x:v>
      </x:c>
      <x:c r="J9" s="9" t="str">
        <x:v>An editable 36-month scenario model for government-funded access, ethical native partnerships, affiliate revenue, platform delivery, rights and content licensing, safeguarding, clinical support and staged human research.</x:v>
      </x:c>
      <x:c r="K9" s="9" t="str">
        <x:v>An editable 36-month scenario model for government-funded access, ethical native partnerships, affiliate revenue, platform delivery, rights and content licensing, safeguarding, clinical support and staged human research.</x:v>
      </x:c>
      <x:c r="L9" s="9" t="str">
        <x:v>An editable 36-month scenario model for government-funded access, ethical native partnerships, affiliate revenue, platform delivery, rights and content licensing, safeguarding, clinical support and staged human research.</x:v>
      </x:c>
      <x:c r="M9" s="9" t="str">
        <x:v>An editable 36-month scenario model for government-funded access, ethical native partnerships, affiliate revenue, platform delivery, rights and content licensing, safeguarding, clinical support and staged human research.</x:v>
      </x:c>
      <x:c r="N9" s="9" t="str">
        <x:v>An editable 36-month scenario model for government-funded access, ethical native partnerships, affiliate revenue, platform delivery, rights and content licensing, safeguarding, clinical support and staged human research.</x:v>
      </x:c>
    </x:row>
    <x:row r="10">
      <x:c r="A10" s="2"/>
      <x:c r="B10" s="2"/>
      <x:c r="C10" s="2"/>
      <x:c r="D10" s="2"/>
      <x:c r="E10" s="2"/>
      <x:c r="F10" s="9" t="str">
        <x:v>An editable 36-month scenario model for government-funded access, ethical native partnerships, affiliate revenue, platform delivery, rights and content licensing, safeguarding, clinical support and staged human research.</x:v>
      </x:c>
      <x:c r="G10" s="9" t="str">
        <x:v>An editable 36-month scenario model for government-funded access, ethical native partnerships, affiliate revenue, platform delivery, rights and content licensing, safeguarding, clinical support and staged human research.</x:v>
      </x:c>
      <x:c r="H10" s="9" t="str">
        <x:v>An editable 36-month scenario model for government-funded access, ethical native partnerships, affiliate revenue, platform delivery, rights and content licensing, safeguarding, clinical support and staged human research.</x:v>
      </x:c>
      <x:c r="I10" s="9" t="str">
        <x:v>An editable 36-month scenario model for government-funded access, ethical native partnerships, affiliate revenue, platform delivery, rights and content licensing, safeguarding, clinical support and staged human research.</x:v>
      </x:c>
      <x:c r="J10" s="9" t="str">
        <x:v>An editable 36-month scenario model for government-funded access, ethical native partnerships, affiliate revenue, platform delivery, rights and content licensing, safeguarding, clinical support and staged human research.</x:v>
      </x:c>
      <x:c r="K10" s="9" t="str">
        <x:v>An editable 36-month scenario model for government-funded access, ethical native partnerships, affiliate revenue, platform delivery, rights and content licensing, safeguarding, clinical support and staged human research.</x:v>
      </x:c>
      <x:c r="L10" s="9" t="str">
        <x:v>An editable 36-month scenario model for government-funded access, ethical native partnerships, affiliate revenue, platform delivery, rights and content licensing, safeguarding, clinical support and staged human research.</x:v>
      </x:c>
      <x:c r="M10" s="9" t="str">
        <x:v>An editable 36-month scenario model for government-funded access, ethical native partnerships, affiliate revenue, platform delivery, rights and content licensing, safeguarding, clinical support and staged human research.</x:v>
      </x:c>
      <x:c r="N10" s="9" t="str">
        <x:v>An editable 36-month scenario model for government-funded access, ethical native partnerships, affiliate revenue, platform delivery, rights and content licensing, safeguarding, clinical support and staged human research.</x:v>
      </x:c>
    </x:row>
    <x:row r="11">
      <x:c r="A11" s="2"/>
      <x:c r="B11" s="2"/>
      <x:c r="C11" s="2"/>
      <x:c r="D11" s="2"/>
      <x:c r="E11" s="2"/>
      <x:c r="F11" s="9" t="str">
        <x:v>An editable 36-month scenario model for government-funded access, ethical native partnerships, affiliate revenue, platform delivery, rights and content licensing, safeguarding, clinical support and staged human research.</x:v>
      </x:c>
      <x:c r="G11" s="9" t="str">
        <x:v>An editable 36-month scenario model for government-funded access, ethical native partnerships, affiliate revenue, platform delivery, rights and content licensing, safeguarding, clinical support and staged human research.</x:v>
      </x:c>
      <x:c r="H11" s="9" t="str">
        <x:v>An editable 36-month scenario model for government-funded access, ethical native partnerships, affiliate revenue, platform delivery, rights and content licensing, safeguarding, clinical support and staged human research.</x:v>
      </x:c>
      <x:c r="I11" s="9" t="str">
        <x:v>An editable 36-month scenario model for government-funded access, ethical native partnerships, affiliate revenue, platform delivery, rights and content licensing, safeguarding, clinical support and staged human research.</x:v>
      </x:c>
      <x:c r="J11" s="9" t="str">
        <x:v>An editable 36-month scenario model for government-funded access, ethical native partnerships, affiliate revenue, platform delivery, rights and content licensing, safeguarding, clinical support and staged human research.</x:v>
      </x:c>
      <x:c r="K11" s="9" t="str">
        <x:v>An editable 36-month scenario model for government-funded access, ethical native partnerships, affiliate revenue, platform delivery, rights and content licensing, safeguarding, clinical support and staged human research.</x:v>
      </x:c>
      <x:c r="L11" s="9" t="str">
        <x:v>An editable 36-month scenario model for government-funded access, ethical native partnerships, affiliate revenue, platform delivery, rights and content licensing, safeguarding, clinical support and staged human research.</x:v>
      </x:c>
      <x:c r="M11" s="9" t="str">
        <x:v>An editable 36-month scenario model for government-funded access, ethical native partnerships, affiliate revenue, platform delivery, rights and content licensing, safeguarding, clinical support and staged human research.</x:v>
      </x:c>
      <x:c r="N11" s="9" t="str">
        <x:v>An editable 36-month scenario model for government-funded access, ethical native partnerships, affiliate revenue, platform delivery, rights and content licensing, safeguarding, clinical support and staged human research.</x:v>
      </x:c>
    </x:row>
    <x:row r="12">
      <x:c r="A12" s="2"/>
      <x:c r="B12" s="2"/>
      <x:c r="C12" s="2"/>
      <x:c r="D12" s="2"/>
      <x:c r="E12" s="2"/>
      <x:c r="F12" s="9" t="str">
        <x:v>An editable 36-month scenario model for government-funded access, ethical native partnerships, affiliate revenue, platform delivery, rights and content licensing, safeguarding, clinical support and staged human research.</x:v>
      </x:c>
      <x:c r="G12" s="9" t="str">
        <x:v>An editable 36-month scenario model for government-funded access, ethical native partnerships, affiliate revenue, platform delivery, rights and content licensing, safeguarding, clinical support and staged human research.</x:v>
      </x:c>
      <x:c r="H12" s="9" t="str">
        <x:v>An editable 36-month scenario model for government-funded access, ethical native partnerships, affiliate revenue, platform delivery, rights and content licensing, safeguarding, clinical support and staged human research.</x:v>
      </x:c>
      <x:c r="I12" s="9" t="str">
        <x:v>An editable 36-month scenario model for government-funded access, ethical native partnerships, affiliate revenue, platform delivery, rights and content licensing, safeguarding, clinical support and staged human research.</x:v>
      </x:c>
      <x:c r="J12" s="9" t="str">
        <x:v>An editable 36-month scenario model for government-funded access, ethical native partnerships, affiliate revenue, platform delivery, rights and content licensing, safeguarding, clinical support and staged human research.</x:v>
      </x:c>
      <x:c r="K12" s="9" t="str">
        <x:v>An editable 36-month scenario model for government-funded access, ethical native partnerships, affiliate revenue, platform delivery, rights and content licensing, safeguarding, clinical support and staged human research.</x:v>
      </x:c>
      <x:c r="L12" s="9" t="str">
        <x:v>An editable 36-month scenario model for government-funded access, ethical native partnerships, affiliate revenue, platform delivery, rights and content licensing, safeguarding, clinical support and staged human research.</x:v>
      </x:c>
      <x:c r="M12" s="9" t="str">
        <x:v>An editable 36-month scenario model for government-funded access, ethical native partnerships, affiliate revenue, platform delivery, rights and content licensing, safeguarding, clinical support and staged human research.</x:v>
      </x:c>
      <x:c r="N12" s="9" t="str">
        <x:v>An editable 36-month scenario model for government-funded access, ethical native partnerships, affiliate revenue, platform delivery, rights and content licensing, safeguarding, clinical support and staged human research.</x:v>
      </x:c>
    </x:row>
    <x:row r="13">
      <x:c r="A13" s="2"/>
      <x:c r="B13" s="2"/>
      <x:c r="C13" s="2"/>
      <x:c r="D13" s="2"/>
      <x:c r="E13" s="2"/>
      <x:c r="F13" s="2"/>
      <x:c r="G13" s="2"/>
      <x:c r="H13" s="2"/>
      <x:c r="I13" s="2"/>
      <x:c r="J13" s="2"/>
      <x:c r="K13" s="2"/>
      <x:c r="L13" s="2"/>
      <x:c r="M13" s="2"/>
      <x:c r="N13" s="2"/>
    </x:row>
    <x:row r="14">
      <x:c r="A14" s="2"/>
      <x:c r="B14" s="2"/>
      <x:c r="C14" s="2"/>
      <x:c r="D14" s="2"/>
      <x:c r="E14" s="2"/>
      <x:c r="F14" s="12" t="str">
        <x:v>Version</x:v>
      </x:c>
      <x:c r="G14" s="13" t="str">
        <x:v>v1.0</x:v>
      </x:c>
      <x:c r="H14" s="2"/>
      <x:c r="I14" s="22" t="str">
        <x:v>How to use
1. Choose Pilot, Base or Scale on Summary.
2. Edit yellow cells on Assumptions and Research Plan.
3. Replace QUOTE items before relying on the model.
4. Treat surplus allocation as policy, not accounting advice.</x:v>
      </x:c>
      <x:c r="J14" s="22" t="str">
        <x:v>How to use
1. Choose Pilot, Base or Scale on Summary.
2. Edit yellow cells on Assumptions and Research Plan.
3. Replace QUOTE items before relying on the model.
4. Treat surplus allocation as policy, not accounting advice.</x:v>
      </x:c>
      <x:c r="K14" s="22" t="str">
        <x:v>How to use
1. Choose Pilot, Base or Scale on Summary.
2. Edit yellow cells on Assumptions and Research Plan.
3. Replace QUOTE items before relying on the model.
4. Treat surplus allocation as policy, not accounting advice.</x:v>
      </x:c>
      <x:c r="L14" s="22" t="str">
        <x:v>How to use
1. Choose Pilot, Base or Scale on Summary.
2. Edit yellow cells on Assumptions and Research Plan.
3. Replace QUOTE items before relying on the model.
4. Treat surplus allocation as policy, not accounting advice.</x:v>
      </x:c>
      <x:c r="M14" s="22" t="str">
        <x:v>How to use
1. Choose Pilot, Base or Scale on Summary.
2. Edit yellow cells on Assumptions and Research Plan.
3. Replace QUOTE items before relying on the model.
4. Treat surplus allocation as policy, not accounting advice.</x:v>
      </x:c>
      <x:c r="N14" s="22" t="str">
        <x:v>How to use
1. Choose Pilot, Base or Scale on Summary.
2. Edit yellow cells on Assumptions and Research Plan.
3. Replace QUOTE items before relying on the model.
4. Treat surplus allocation as policy, not accounting advice.</x:v>
      </x:c>
    </x:row>
    <x:row r="15">
      <x:c r="A15" s="2"/>
      <x:c r="B15" s="2"/>
      <x:c r="C15" s="2"/>
      <x:c r="D15" s="2"/>
      <x:c r="E15" s="2"/>
      <x:c r="F15" s="14" t="str">
        <x:v>As of</x:v>
      </x:c>
      <x:c r="G15" s="15" t="n">
        <x:v>46224</x:v>
      </x:c>
      <x:c r="H15" s="2"/>
      <x:c r="I15" s="22" t="str">
        <x:v>How to use
1. Choose Pilot, Base or Scale on Summary.
2. Edit yellow cells on Assumptions and Research Plan.
3. Replace QUOTE items before relying on the model.
4. Treat surplus allocation as policy, not accounting advice.</x:v>
      </x:c>
      <x:c r="J15" s="22" t="str">
        <x:v>How to use
1. Choose Pilot, Base or Scale on Summary.
2. Edit yellow cells on Assumptions and Research Plan.
3. Replace QUOTE items before relying on the model.
4. Treat surplus allocation as policy, not accounting advice.</x:v>
      </x:c>
      <x:c r="K15" s="22" t="str">
        <x:v>How to use
1. Choose Pilot, Base or Scale on Summary.
2. Edit yellow cells on Assumptions and Research Plan.
3. Replace QUOTE items before relying on the model.
4. Treat surplus allocation as policy, not accounting advice.</x:v>
      </x:c>
      <x:c r="L15" s="22" t="str">
        <x:v>How to use
1. Choose Pilot, Base or Scale on Summary.
2. Edit yellow cells on Assumptions and Research Plan.
3. Replace QUOTE items before relying on the model.
4. Treat surplus allocation as policy, not accounting advice.</x:v>
      </x:c>
      <x:c r="M15" s="22" t="str">
        <x:v>How to use
1. Choose Pilot, Base or Scale on Summary.
2. Edit yellow cells on Assumptions and Research Plan.
3. Replace QUOTE items before relying on the model.
4. Treat surplus allocation as policy, not accounting advice.</x:v>
      </x:c>
      <x:c r="N15" s="22" t="str">
        <x:v>How to use
1. Choose Pilot, Base or Scale on Summary.
2. Edit yellow cells on Assumptions and Research Plan.
3. Replace QUOTE items before relying on the model.
4. Treat surplus allocation as policy, not accounting advice.</x:v>
      </x:c>
    </x:row>
    <x:row r="16">
      <x:c r="A16" s="2"/>
      <x:c r="B16" s="2"/>
      <x:c r="C16" s="2"/>
      <x:c r="D16" s="2"/>
      <x:c r="E16" s="2"/>
      <x:c r="F16" s="14" t="str">
        <x:v>Currency</x:v>
      </x:c>
      <x:c r="G16" s="16" t="str">
        <x:v>AUD</x:v>
      </x:c>
      <x:c r="H16" s="2"/>
      <x:c r="I16" s="22" t="str">
        <x:v>How to use
1. Choose Pilot, Base or Scale on Summary.
2. Edit yellow cells on Assumptions and Research Plan.
3. Replace QUOTE items before relying on the model.
4. Treat surplus allocation as policy, not accounting advice.</x:v>
      </x:c>
      <x:c r="J16" s="22" t="str">
        <x:v>How to use
1. Choose Pilot, Base or Scale on Summary.
2. Edit yellow cells on Assumptions and Research Plan.
3. Replace QUOTE items before relying on the model.
4. Treat surplus allocation as policy, not accounting advice.</x:v>
      </x:c>
      <x:c r="K16" s="22" t="str">
        <x:v>How to use
1. Choose Pilot, Base or Scale on Summary.
2. Edit yellow cells on Assumptions and Research Plan.
3. Replace QUOTE items before relying on the model.
4. Treat surplus allocation as policy, not accounting advice.</x:v>
      </x:c>
      <x:c r="L16" s="22" t="str">
        <x:v>How to use
1. Choose Pilot, Base or Scale on Summary.
2. Edit yellow cells on Assumptions and Research Plan.
3. Replace QUOTE items before relying on the model.
4. Treat surplus allocation as policy, not accounting advice.</x:v>
      </x:c>
      <x:c r="M16" s="22" t="str">
        <x:v>How to use
1. Choose Pilot, Base or Scale on Summary.
2. Edit yellow cells on Assumptions and Research Plan.
3. Replace QUOTE items before relying on the model.
4. Treat surplus allocation as policy, not accounting advice.</x:v>
      </x:c>
      <x:c r="N16" s="22" t="str">
        <x:v>How to use
1. Choose Pilot, Base or Scale on Summary.
2. Edit yellow cells on Assumptions and Research Plan.
3. Replace QUOTE items before relying on the model.
4. Treat surplus allocation as policy, not accounting advice.</x:v>
      </x:c>
    </x:row>
    <x:row r="17">
      <x:c r="A17" s="2"/>
      <x:c r="B17" s="2"/>
      <x:c r="C17" s="2"/>
      <x:c r="D17" s="2"/>
      <x:c r="E17" s="2"/>
      <x:c r="F17" s="14" t="str">
        <x:v>Forecast</x:v>
      </x:c>
      <x:c r="G17" s="16" t="str">
        <x:v>36 months</x:v>
      </x:c>
      <x:c r="H17" s="2"/>
      <x:c r="I17" s="22" t="str">
        <x:v>How to use
1. Choose Pilot, Base or Scale on Summary.
2. Edit yellow cells on Assumptions and Research Plan.
3. Replace QUOTE items before relying on the model.
4. Treat surplus allocation as policy, not accounting advice.</x:v>
      </x:c>
      <x:c r="J17" s="22" t="str">
        <x:v>How to use
1. Choose Pilot, Base or Scale on Summary.
2. Edit yellow cells on Assumptions and Research Plan.
3. Replace QUOTE items before relying on the model.
4. Treat surplus allocation as policy, not accounting advice.</x:v>
      </x:c>
      <x:c r="K17" s="22" t="str">
        <x:v>How to use
1. Choose Pilot, Base or Scale on Summary.
2. Edit yellow cells on Assumptions and Research Plan.
3. Replace QUOTE items before relying on the model.
4. Treat surplus allocation as policy, not accounting advice.</x:v>
      </x:c>
      <x:c r="L17" s="22" t="str">
        <x:v>How to use
1. Choose Pilot, Base or Scale on Summary.
2. Edit yellow cells on Assumptions and Research Plan.
3. Replace QUOTE items before relying on the model.
4. Treat surplus allocation as policy, not accounting advice.</x:v>
      </x:c>
      <x:c r="M17" s="22" t="str">
        <x:v>How to use
1. Choose Pilot, Base or Scale on Summary.
2. Edit yellow cells on Assumptions and Research Plan.
3. Replace QUOTE items before relying on the model.
4. Treat surplus allocation as policy, not accounting advice.</x:v>
      </x:c>
      <x:c r="N17" s="22" t="str">
        <x:v>How to use
1. Choose Pilot, Base or Scale on Summary.
2. Edit yellow cells on Assumptions and Research Plan.
3. Replace QUOTE items before relying on the model.
4. Treat surplus allocation as policy, not accounting advice.</x:v>
      </x:c>
    </x:row>
    <x:row r="18" ht="34" customHeight="1">
      <x:c r="A18" s="2"/>
      <x:c r="B18" s="2"/>
      <x:c r="C18" s="2"/>
      <x:c r="D18" s="2"/>
      <x:c r="E18" s="2"/>
      <x:c r="F18" s="17" t="str">
        <x:v>Owner</x:v>
      </x:c>
      <x:c r="G18" s="18" t="str">
        <x:v>Internet of Happiness / Universal Mind</x:v>
      </x:c>
      <x:c r="H18" s="2"/>
      <x:c r="I18" s="22" t="str">
        <x:v>How to use
1. Choose Pilot, Base or Scale on Summary.
2. Edit yellow cells on Assumptions and Research Plan.
3. Replace QUOTE items before relying on the model.
4. Treat surplus allocation as policy, not accounting advice.</x:v>
      </x:c>
      <x:c r="J18" s="22" t="str">
        <x:v>How to use
1. Choose Pilot, Base or Scale on Summary.
2. Edit yellow cells on Assumptions and Research Plan.
3. Replace QUOTE items before relying on the model.
4. Treat surplus allocation as policy, not accounting advice.</x:v>
      </x:c>
      <x:c r="K18" s="22" t="str">
        <x:v>How to use
1. Choose Pilot, Base or Scale on Summary.
2. Edit yellow cells on Assumptions and Research Plan.
3. Replace QUOTE items before relying on the model.
4. Treat surplus allocation as policy, not accounting advice.</x:v>
      </x:c>
      <x:c r="L18" s="22" t="str">
        <x:v>How to use
1. Choose Pilot, Base or Scale on Summary.
2. Edit yellow cells on Assumptions and Research Plan.
3. Replace QUOTE items before relying on the model.
4. Treat surplus allocation as policy, not accounting advice.</x:v>
      </x:c>
      <x:c r="M18" s="22" t="str">
        <x:v>How to use
1. Choose Pilot, Base or Scale on Summary.
2. Edit yellow cells on Assumptions and Research Plan.
3. Replace QUOTE items before relying on the model.
4. Treat surplus allocation as policy, not accounting advice.</x:v>
      </x:c>
      <x:c r="N18" s="22" t="str">
        <x:v>How to use
1. Choose Pilot, Base or Scale on Summary.
2. Edit yellow cells on Assumptions and Research Plan.
3. Replace QUOTE items before relying on the model.
4. Treat surplus allocation as policy, not accounting advice.</x:v>
      </x:c>
    </x:row>
    <x:row r="19">
      <x:c r="A19" s="2"/>
      <x:c r="B19" s="2"/>
      <x:c r="C19" s="2"/>
      <x:c r="D19" s="2"/>
      <x:c r="E19" s="2"/>
      <x:c r="F19" s="2"/>
      <x:c r="G19" s="2"/>
      <x:c r="H19" s="2"/>
      <x:c r="I19" s="2"/>
      <x:c r="J19" s="2"/>
      <x:c r="K19" s="2"/>
      <x:c r="L19" s="2"/>
      <x:c r="M19" s="2"/>
      <x:c r="N19" s="2"/>
    </x:row>
    <x:row r="20">
      <x:c r="A20" s="2"/>
      <x:c r="B20" s="2"/>
      <x:c r="C20" s="2"/>
      <x:c r="D20" s="2"/>
      <x:c r="E20" s="2"/>
      <x:c r="F20" s="2"/>
      <x:c r="G20" s="2"/>
      <x:c r="H20" s="2"/>
      <x:c r="I20" s="2"/>
      <x:c r="J20" s="2"/>
      <x:c r="K20" s="2"/>
      <x:c r="L20" s="2"/>
      <x:c r="M20" s="2"/>
      <x:c r="N20" s="2"/>
    </x:row>
    <x:row r="21">
      <x:c r="A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B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C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D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E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F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G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H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I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J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K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L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M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N21"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row>
    <x:row r="22">
      <x:c r="A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B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C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D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E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F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G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H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I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J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K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L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M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N22"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row>
    <x:row r="23">
      <x:c r="A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B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C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D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E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F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G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H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I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J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K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L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M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c r="N23" s="26" t="str">
        <x:v>Planning model only. Rights, clinical, research, privacy, tax and grant-recognition treatment require specialist review and executed agreements. No emergency-response partner, health service, artist, label, event producer or fashion house is assumed committed until contracted.</x:v>
      </x:c>
    </x:row>
    <x:row r="24">
      <x:c r="A24" s="2"/>
      <x:c r="B24" s="2"/>
      <x:c r="C24" s="2"/>
      <x:c r="D24" s="2"/>
      <x:c r="E24" s="2"/>
      <x:c r="F24" s="2"/>
      <x:c r="G24" s="2"/>
      <x:c r="H24" s="2"/>
      <x:c r="I24" s="2"/>
      <x:c r="J24" s="2"/>
      <x:c r="K24" s="2"/>
      <x:c r="L24" s="2"/>
      <x:c r="M24" s="2"/>
      <x:c r="N24" s="2"/>
    </x:row>
  </x:sheetData>
  <x:mergeCells>
    <x:mergeCell ref="F3:N4"/>
    <x:mergeCell ref="F5:N7"/>
    <x:mergeCell ref="F9:N12"/>
    <x:mergeCell ref="I14:N18"/>
    <x:mergeCell ref="A21:N23"/>
  </x:mergeCells>
  <x:pageMargins left="0.7" right="0.7" top="0.75" bottom="0.75" header="0.3" footer="0.3"/>
  <x:drawing xmlns:r="http://schemas.openxmlformats.org/officeDocument/2006/relationships" r:id="Ra32e448a41614b62"/>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6" hidden="0" customWidth="1"/>
    <x:col min="5" max="5" width="3" hidden="0" customWidth="1"/>
    <x:col min="6" max="6" width="31" hidden="0" customWidth="1"/>
    <x:col min="7" max="7" width="16" hidden="0" customWidth="1"/>
    <x:col min="8" max="8" width="25" hidden="0" customWidth="1"/>
    <x:col min="9" max="9" width="3" hidden="0" customWidth="1"/>
    <x:col min="10" max="10" width="24" hidden="0" customWidth="1"/>
    <x:col min="11" max="11" width="15" hidden="0" customWidth="1"/>
    <x:col min="12" max="12" width="15" hidden="0" customWidth="1"/>
    <x:col min="13" max="13" width="15" hidden="0" customWidth="1"/>
    <x:col min="14" max="14" width="12" hidden="0" customWidth="1"/>
    <x:col min="15" max="15" width="12" hidden="0" customWidth="1"/>
    <x:col min="16" max="16" width="12" hidden="0" customWidth="1"/>
  </x:cols>
  <x:sheetData>
    <x:row r="1">
      <x:c r="A1" s="28" t="str">
        <x:v>IamVogue Portal — 36-Month Outlook</x:v>
      </x:c>
      <x:c r="B1" s="28" t="str">
        <x:v>IamVogue Portal — 36-Month Outlook</x:v>
      </x:c>
      <x:c r="C1" s="28" t="str">
        <x:v>IamVogue Portal — 36-Month Outlook</x:v>
      </x:c>
      <x:c r="D1" s="28" t="str">
        <x:v>IamVogue Portal — 36-Month Outlook</x:v>
      </x:c>
      <x:c r="E1" s="28" t="str">
        <x:v>IamVogue Portal — 36-Month Outlook</x:v>
      </x:c>
      <x:c r="F1" s="28" t="str">
        <x:v>IamVogue Portal — 36-Month Outlook</x:v>
      </x:c>
      <x:c r="G1" s="28" t="str">
        <x:v>IamVogue Portal — 36-Month Outlook</x:v>
      </x:c>
      <x:c r="H1" s="28" t="str">
        <x:v>IamVogue Portal — 36-Month Outlook</x:v>
      </x:c>
      <x:c r="I1" s="2"/>
      <x:c r="J1" s="2"/>
      <x:c r="K1" s="2"/>
      <x:c r="L1" s="2"/>
      <x:c r="M1" s="2"/>
      <x:c r="N1" s="2"/>
      <x:c r="O1" s="2"/>
      <x:c r="P1" s="2"/>
    </x:row>
    <x:row r="2">
      <x:c r="A2" s="28" t="str">
        <x:v>IamVogue Portal — 36-Month Outlook</x:v>
      </x:c>
      <x:c r="B2" s="28" t="str">
        <x:v>IamVogue Portal — 36-Month Outlook</x:v>
      </x:c>
      <x:c r="C2" s="28" t="str">
        <x:v>IamVogue Portal — 36-Month Outlook</x:v>
      </x:c>
      <x:c r="D2" s="28" t="str">
        <x:v>IamVogue Portal — 36-Month Outlook</x:v>
      </x:c>
      <x:c r="E2" s="28" t="str">
        <x:v>IamVogue Portal — 36-Month Outlook</x:v>
      </x:c>
      <x:c r="F2" s="28" t="str">
        <x:v>IamVogue Portal — 36-Month Outlook</x:v>
      </x:c>
      <x:c r="G2" s="28" t="str">
        <x:v>IamVogue Portal — 36-Month Outlook</x:v>
      </x:c>
      <x:c r="H2" s="28" t="str">
        <x:v>IamVogue Portal — 36-Month Outlook</x:v>
      </x:c>
      <x:c r="I2" s="2"/>
      <x:c r="J2" s="2"/>
      <x:c r="K2" s="2"/>
      <x:c r="L2" s="2"/>
      <x:c r="M2" s="2"/>
      <x:c r="N2" s="2"/>
      <x:c r="O2" s="2"/>
      <x:c r="P2" s="2"/>
    </x:row>
    <x:row r="3">
      <x:c r="A3" s="2"/>
      <x:c r="B3" s="2"/>
      <x:c r="C3" s="2"/>
      <x:c r="D3" s="2"/>
      <x:c r="E3" s="2"/>
      <x:c r="F3" s="2"/>
      <x:c r="G3" s="2"/>
      <x:c r="H3" s="2"/>
      <x:c r="I3" s="2"/>
      <x:c r="J3" s="2"/>
      <x:c r="K3" s="2"/>
      <x:c r="L3" s="2"/>
      <x:c r="M3" s="2"/>
      <x:c r="N3" s="2"/>
      <x:c r="O3" s="2"/>
      <x:c r="P3" s="2"/>
    </x:row>
    <x:row r="4">
      <x:c r="A4" s="10" t="str">
        <x:v>Selected scenario</x:v>
      </x:c>
      <x:c r="B4" s="32" t="str">
        <x:v>Base</x:v>
      </x:c>
      <x:c r="C4" s="2"/>
      <x:c r="D4" s="10" t="str">
        <x:v>Model status</x:v>
      </x:c>
      <x:c r="E4" s="34" t="str">
        <x:f>'Checks'!$B$2</x:f>
        <x:v>PASS</x:v>
      </x:c>
      <x:c r="F4" s="2"/>
      <x:c r="G4" s="2" t="str">
        <x:v>Base currency</x:v>
      </x:c>
      <x:c r="H4" s="2" t="str">
        <x:v>AUD</x:v>
      </x:c>
      <x:c r="I4" s="2"/>
      <x:c r="J4" s="2"/>
      <x:c r="K4" s="2"/>
      <x:c r="L4" s="2"/>
      <x:c r="M4" s="2"/>
      <x:c r="N4" s="2"/>
      <x:c r="O4" s="2"/>
      <x:c r="P4" s="2"/>
    </x:row>
    <x:row r="5">
      <x:c r="A5" s="2"/>
      <x:c r="B5" s="2"/>
      <x:c r="C5" s="2"/>
      <x:c r="D5" s="2"/>
      <x:c r="E5" s="2"/>
      <x:c r="F5" s="2"/>
      <x:c r="G5" s="2"/>
      <x:c r="H5" s="2"/>
      <x:c r="I5" s="2"/>
      <x:c r="J5" s="2"/>
      <x:c r="K5" s="2"/>
      <x:c r="L5" s="2"/>
      <x:c r="M5" s="2"/>
      <x:c r="N5" s="2"/>
      <x:c r="O5" s="2"/>
      <x:c r="P5" s="2"/>
    </x:row>
    <x:row r="6">
      <x:c r="A6" s="2"/>
      <x:c r="B6" s="2"/>
      <x:c r="C6" s="2"/>
      <x:c r="D6" s="2"/>
      <x:c r="E6" s="2"/>
      <x:c r="F6" s="2"/>
      <x:c r="G6" s="2"/>
      <x:c r="H6" s="2"/>
      <x:c r="I6" s="2"/>
      <x:c r="J6" s="2"/>
      <x:c r="K6" s="2"/>
      <x:c r="L6" s="2"/>
      <x:c r="M6" s="2"/>
      <x:c r="N6" s="2"/>
      <x:c r="O6" s="2"/>
      <x:c r="P6" s="2"/>
    </x:row>
    <x:row r="7">
      <x:c r="A7" s="43" t="str">
        <x:v>Metric</x:v>
      </x:c>
      <x:c r="B7" s="44" t="str">
        <x:v>Year 1</x:v>
      </x:c>
      <x:c r="C7" s="44" t="str">
        <x:v>Year 2</x:v>
      </x:c>
      <x:c r="D7" s="45" t="str">
        <x:v>Year 3</x:v>
      </x:c>
      <x:c r="E7" s="2"/>
      <x:c r="F7" s="43" t="str">
        <x:v>Unit economics — selected scenario</x:v>
      </x:c>
      <x:c r="G7" s="44" t="str">
        <x:v>Monthly / seat</x:v>
      </x:c>
      <x:c r="H7" s="45" t="str">
        <x:v>Notes</x:v>
      </x:c>
      <x:c r="I7" s="2"/>
      <x:c r="J7" s="2" t="str">
        <x:v>Year</x:v>
      </x:c>
      <x:c r="K7" s="2" t="str">
        <x:v>Revenue</x:v>
      </x:c>
      <x:c r="L7" s="2" t="str">
        <x:v>Total spend</x:v>
      </x:c>
      <x:c r="M7" s="2" t="str">
        <x:v>Operating result</x:v>
      </x:c>
      <x:c r="N7" s="2"/>
      <x:c r="O7" s="2"/>
      <x:c r="P7" s="2"/>
    </x:row>
    <x:row r="8">
      <x:c r="A8" s="52" t="str">
        <x:v>Government-funded seats (ending)</x:v>
      </x:c>
      <x:c r="B8" s="53" t="n">
        <x:f>'Monthly P&amp;L'!M$5</x:f>
        <x:v>1710.3393581163143</x:v>
      </x:c>
      <x:c r="C8" s="53" t="n">
        <x:f>'Monthly P&amp;L'!Y$5</x:f>
        <x:v>3071.523755917812</x:v>
      </x:c>
      <x:c r="D8" s="53" t="n">
        <x:f>'Monthly P&amp;L'!AK$5</x:f>
        <x:v>5516.015367592254</x:v>
      </x:c>
      <x:c r="E8" s="2"/>
      <x:c r="F8" s="52" t="str">
        <x:v>Government seat revenue</x:v>
      </x:c>
      <x:c r="G8" s="67" t="n">
        <x:f>'Assumptions'!$G$8</x:f>
        <x:v>30</x:v>
      </x:c>
      <x:c r="H8" s="52" t="str">
        <x:v>Government-funded access</x:v>
      </x:c>
      <x:c r="I8" s="2"/>
      <x:c r="J8" s="2" t="str">
        <x:v>Year 1</x:v>
      </x:c>
      <x:c r="K8" s="48" t="n">
        <x:f>B9</x:f>
        <x:v>1845898.0767443893</x:v>
      </x:c>
      <x:c r="L8" s="48" t="n">
        <x:f>B10+B12</x:f>
        <x:v>2758899.4707737416</x:v>
      </x:c>
      <x:c r="M8" s="48" t="n">
        <x:f>B14</x:f>
        <x:v>-913001.394029353</x:v>
      </x:c>
      <x:c r="N8" s="2"/>
      <x:c r="O8" s="2"/>
      <x:c r="P8" s="2"/>
    </x:row>
    <x:row r="9">
      <x:c r="A9" s="54" t="str">
        <x:v>Revenue</x:v>
      </x:c>
      <x:c r="B9" s="55" t="n">
        <x:f>SUM('Monthly P&amp;L'!B$12:M$12)</x:f>
        <x:v>1845898.0767443893</x:v>
      </x:c>
      <x:c r="C9" s="55" t="n">
        <x:f>SUM('Monthly P&amp;L'!N$12:Y$12)</x:f>
        <x:v>2240561.698183618</x:v>
      </x:c>
      <x:c r="D9" s="55" t="n">
        <x:f>SUM('Monthly P&amp;L'!Z$12:AK$12)</x:f>
        <x:v>2949320.859396062</x:v>
      </x:c>
      <x:c r="E9" s="2"/>
      <x:c r="F9" s="54" t="str">
        <x:v>Agora voice rooms</x:v>
      </x:c>
      <x:c r="G9" s="68" t="n">
        <x:f>MAX(0,('Assumptions'!$G$15-'Assumptions'!$G$16/MAX(1,'Monthly P&amp;L'!$B$5))*'Assumptions'!$G$17/1000/'Assumptions'!$G$32)</x:f>
        <x:v>0.04956372478901444</x:v>
      </x:c>
      <x:c r="H9" s="54" t="str">
        <x:v>After shared free allowance</x:v>
      </x:c>
      <x:c r="I9" s="2"/>
      <x:c r="J9" s="2" t="str">
        <x:v>Year 2</x:v>
      </x:c>
      <x:c r="K9" s="48" t="n">
        <x:f>C9</x:f>
        <x:v>2240561.698183618</x:v>
      </x:c>
      <x:c r="L9" s="48" t="n">
        <x:f>C10+C12</x:f>
        <x:v>2818321.53698839</x:v>
      </x:c>
      <x:c r="M9" s="48" t="n">
        <x:f>C14</x:f>
        <x:v>-577759.8388047718</x:v>
      </x:c>
      <x:c r="N9" s="2"/>
      <x:c r="O9" s="2"/>
      <x:c r="P9" s="2"/>
    </x:row>
    <x:row r="10">
      <x:c r="A10" s="54" t="str">
        <x:v>Cost of revenue</x:v>
      </x:c>
      <x:c r="B10" s="55" t="n">
        <x:f>SUM('Monthly P&amp;L'!B$25:M$25)</x:f>
        <x:v>628281.3547737419</x:v>
      </x:c>
      <x:c r="C10" s="55" t="n">
        <x:f>SUM('Monthly P&amp;L'!N$25:Y$25)</x:f>
        <x:v>644869.4209883902</x:v>
      </x:c>
      <x:c r="D10" s="55" t="n">
        <x:f>SUM('Monthly P&amp;L'!Z$25:AK$25)</x:f>
        <x:v>674659.2046364403</x:v>
      </x:c>
      <x:c r="E10" s="2"/>
      <x:c r="F10" s="54" t="str">
        <x:v>GPT inference</x:v>
      </x:c>
      <x:c r="G10" s="68" t="n">
        <x:f>'Assumptions'!$G$18*(('Assumptions'!$G$19*'Assumptions'!$G$21)+('Assumptions'!$G$20*'Assumptions'!$G$22))/1000000/'Assumptions'!$G$32</x:f>
        <x:v>0.094407094836218</x:v>
      </x:c>
      <x:c r="H10" s="54" t="str">
        <x:v>Token assumption</x:v>
      </x:c>
      <x:c r="I10" s="2"/>
      <x:c r="J10" s="2" t="str">
        <x:v>Year 3</x:v>
      </x:c>
      <x:c r="K10" s="48" t="n">
        <x:f>D9</x:f>
        <x:v>2949320.859396062</x:v>
      </x:c>
      <x:c r="L10" s="48" t="n">
        <x:f>D10+D12</x:f>
        <x:v>2934626.32063644</x:v>
      </x:c>
      <x:c r="M10" s="48" t="n">
        <x:f>D14</x:f>
        <x:v>14694.538759621326</x:v>
      </x:c>
      <x:c r="N10" s="2"/>
      <x:c r="O10" s="2"/>
      <x:c r="P10" s="2"/>
    </x:row>
    <x:row r="11">
      <x:c r="A11" s="54" t="str">
        <x:v>Gross profit</x:v>
      </x:c>
      <x:c r="B11" s="55" t="n">
        <x:f>SUM('Monthly P&amp;L'!B$26:M$26)</x:f>
        <x:v>1217616.721970647</x:v>
      </x:c>
      <x:c r="C11" s="55" t="n">
        <x:f>SUM('Monthly P&amp;L'!N$26:Y$26)</x:f>
        <x:v>1595692.2771952283</x:v>
      </x:c>
      <x:c r="D11" s="55" t="n">
        <x:f>SUM('Monthly P&amp;L'!Z$26:AK$26)</x:f>
        <x:v>2274661.6547596217</x:v>
      </x:c>
      <x:c r="E11" s="2"/>
      <x:c r="F11" s="54" t="str">
        <x:v>Realtime voice assistant</x:v>
      </x:c>
      <x:c r="G11" s="68" t="n">
        <x:f>'Assumptions'!$G$23*(('Assumptions'!$G$24*'Assumptions'!$G$26)+('Assumptions'!$G$25*'Assumptions'!$G$27))/1000000/'Assumptions'!$G$32</x:f>
        <x:v>0.823916464025175</x:v>
      </x:c>
      <x:c r="H11" s="54" t="str">
        <x:v>Audio-token assumption</x:v>
      </x:c>
      <x:c r="I11" s="2"/>
      <x:c r="J11" s="2"/>
      <x:c r="K11" s="2"/>
      <x:c r="L11" s="2"/>
      <x:c r="M11" s="2"/>
      <x:c r="N11" s="2"/>
      <x:c r="O11" s="2"/>
      <x:c r="P11" s="2"/>
    </x:row>
    <x:row r="12">
      <x:c r="A12" s="54" t="str">
        <x:v>Operating expenses</x:v>
      </x:c>
      <x:c r="B12" s="55" t="n">
        <x:f>SUM('Monthly P&amp;L'!B$51:M$51)</x:f>
        <x:v>2130618.116</x:v>
      </x:c>
      <x:c r="C12" s="55" t="n">
        <x:f>SUM('Monthly P&amp;L'!N$51:Y$51)</x:f>
        <x:v>2173452.116</x:v>
      </x:c>
      <x:c r="D12" s="55" t="n">
        <x:f>SUM('Monthly P&amp;L'!Z$51:AK$51)</x:f>
        <x:v>2259967.116</x:v>
      </x:c>
      <x:c r="E12" s="2"/>
      <x:c r="F12" s="54" t="str">
        <x:v>Cloudflare delivery</x:v>
      </x:c>
      <x:c r="G12" s="68" t="n">
        <x:f>'Assumptions'!$G$28*'Assumptions'!$G$31/1000/'Assumptions'!$G$32</x:f>
        <x:v>0.17164926333857816</x:v>
      </x:c>
      <x:c r="H12" s="54" t="str">
        <x:v>Delivered minutes</x:v>
      </x:c>
      <x:c r="I12" s="2"/>
      <x:c r="J12" s="2"/>
      <x:c r="K12" s="2"/>
      <x:c r="L12" s="2"/>
      <x:c r="M12" s="2"/>
      <x:c r="N12" s="2"/>
      <x:c r="O12" s="2"/>
      <x:c r="P12" s="2"/>
    </x:row>
    <x:row r="13">
      <x:c r="A13" s="54" t="str">
        <x:v>Research programme</x:v>
      </x:c>
      <x:c r="B13" s="55" t="n">
        <x:f>SUM('Monthly P&amp;L'!B$47:M$47)</x:f>
        <x:v>46310</x:v>
      </x:c>
      <x:c r="C13" s="55" t="n">
        <x:f>SUM('Monthly P&amp;L'!N$47:Y$47)</x:f>
        <x:v>85250</x:v>
      </x:c>
      <x:c r="D13" s="55" t="n">
        <x:f>SUM('Monthly P&amp;L'!Z$47:AK$47)</x:f>
        <x:v>163900</x:v>
      </x:c>
      <x:c r="E13" s="2"/>
      <x:c r="F13" s="54" t="str">
        <x:v>Contribution before fixed licences &amp; opex</x:v>
      </x:c>
      <x:c r="G13" s="68" t="n">
        <x:f>G8-SUM(G9:G12)</x:f>
        <x:v>28.860463453011015</x:v>
      </x:c>
      <x:c r="H13" s="54" t="str">
        <x:v>Before content, people and overhead</x:v>
      </x:c>
      <x:c r="I13" s="2"/>
      <x:c r="J13" s="2" t="str">
        <x:v>Year 1 cost area</x:v>
      </x:c>
      <x:c r="K13" s="2" t="str">
        <x:v>A$</x:v>
      </x:c>
      <x:c r="L13" s="2"/>
      <x:c r="M13" s="2"/>
      <x:c r="N13" s="2"/>
      <x:c r="O13" s="2"/>
      <x:c r="P13" s="2"/>
    </x:row>
    <x:row r="14">
      <x:c r="A14" s="59" t="str">
        <x:v>Surplus / (deficit) before allocation</x:v>
      </x:c>
      <x:c r="B14" s="60" t="n">
        <x:f>SUM('Monthly P&amp;L'!B$53:M$53)</x:f>
        <x:v>-913001.394029353</x:v>
      </x:c>
      <x:c r="C14" s="60" t="n">
        <x:f>SUM('Monthly P&amp;L'!N$53:Y$53)</x:f>
        <x:v>-577759.8388047718</x:v>
      </x:c>
      <x:c r="D14" s="60" t="n">
        <x:f>SUM('Monthly P&amp;L'!Z$53:AK$53)</x:f>
        <x:v>14694.538759621326</x:v>
      </x:c>
      <x:c r="E14" s="2"/>
      <x:c r="F14" s="2"/>
      <x:c r="G14" s="2"/>
      <x:c r="H14" s="2"/>
      <x:c r="I14" s="2"/>
      <x:c r="J14" s="2" t="str">
        <x:v>Technology delivery</x:v>
      </x:c>
      <x:c r="K14" s="48" t="n">
        <x:f>SUM('Monthly P&amp;L'!$B$15:$M$19)</x:f>
        <x:v>19051.864390019997</x:v>
      </x:c>
      <x:c r="L14" s="2"/>
      <x:c r="M14" s="2"/>
      <x:c r="N14" s="2"/>
      <x:c r="O14" s="2"/>
      <x:c r="P14" s="2"/>
    </x:row>
    <x:row r="15">
      <x:c r="A15" s="54" t="str">
        <x:v>Operating margin</x:v>
      </x:c>
      <x:c r="B15" s="56" t="n">
        <x:f>IF(B9=0,0,B14/B9)</x:f>
        <x:v>-0.4946109460385883</x:v>
      </x:c>
      <x:c r="C15" s="56" t="n">
        <x:f>IF(C9=0,0,C14/C9)</x:f>
        <x:v>-0.25786383801577567</x:v>
      </x:c>
      <x:c r="D15" s="56" t="n">
        <x:f>IF(D9=0,0,D14/D9)</x:f>
        <x:v>0.004982346601186808</x:v>
      </x:c>
      <x:c r="E15" s="2"/>
      <x:c r="F15" s="2"/>
      <x:c r="G15" s="2"/>
      <x:c r="H15" s="2"/>
      <x:c r="I15" s="2"/>
      <x:c r="J15" s="2" t="str">
        <x:v>Content &amp; rights</x:v>
      </x:c>
      <x:c r="K15" s="48" t="n">
        <x:f>SUM('Monthly P&amp;L'!$B$20:$M$24)</x:f>
        <x:v>609229.490383722</x:v>
      </x:c>
      <x:c r="L15" s="2"/>
      <x:c r="M15" s="2"/>
      <x:c r="N15" s="2"/>
      <x:c r="O15" s="2"/>
      <x:c r="P15" s="2"/>
    </x:row>
    <x:row r="16">
      <x:c r="A16" s="63" t="str">
        <x:v>Peak funding requirement</x:v>
      </x:c>
      <x:c r="B16" s="64" t="n">
        <x:f>MAX('Monthly P&amp;L'!B$57:M$57)</x:f>
        <x:v>913001.394029353</x:v>
      </x:c>
      <x:c r="C16" s="64" t="n">
        <x:f>MAX('Monthly P&amp;L'!N$57:Y$57)</x:f>
        <x:v>1490761.2328341245</x:v>
      </x:c>
      <x:c r="D16" s="64" t="n">
        <x:f>MAX('Monthly P&amp;L'!Z$57:AK$57)</x:f>
        <x:v>1701886.805788581</x:v>
      </x:c>
      <x:c r="E16" s="2"/>
      <x:c r="F16" s="2"/>
      <x:c r="G16" s="2"/>
      <x:c r="H16" s="2"/>
      <x:c r="I16" s="2"/>
      <x:c r="J16" s="2" t="str">
        <x:v>Safeguarding &amp; clinical</x:v>
      </x:c>
      <x:c r="K16" s="48" t="n">
        <x:f>SUM('Monthly P&amp;L'!$B$31:$M$34)</x:f>
        <x:v>567519.9999999999</x:v>
      </x:c>
      <x:c r="L16" s="2"/>
      <x:c r="M16" s="2"/>
      <x:c r="N16" s="2"/>
      <x:c r="O16" s="2"/>
      <x:c r="P16" s="2"/>
    </x:row>
    <x:row r="17">
      <x:c r="A17" s="2"/>
      <x:c r="B17" s="2"/>
      <x:c r="C17" s="2"/>
      <x:c r="D17" s="2"/>
      <x:c r="E17" s="2"/>
      <x:c r="F17" s="2"/>
      <x:c r="G17" s="2"/>
      <x:c r="H17" s="2"/>
      <x:c r="I17" s="2"/>
      <x:c r="J17" s="2" t="str">
        <x:v>Community &amp; people</x:v>
      </x:c>
      <x:c r="K17" s="48" t="n">
        <x:f>SUM('Monthly P&amp;L'!$B$35:$M$40)</x:f>
        <x:v>900399.9999999999</x:v>
      </x:c>
      <x:c r="L17" s="2"/>
      <x:c r="M17" s="2"/>
      <x:c r="N17" s="2"/>
      <x:c r="O17" s="2"/>
      <x:c r="P17" s="2"/>
    </x:row>
    <x:row r="18">
      <x:c r="A18" s="2"/>
      <x:c r="B18" s="2"/>
      <x:c r="C18" s="2"/>
      <x:c r="D18" s="2"/>
      <x:c r="E18" s="2"/>
      <x:c r="F18" s="2"/>
      <x:c r="G18" s="2"/>
      <x:c r="H18" s="2"/>
      <x:c r="I18" s="2"/>
      <x:c r="J18" s="2" t="str">
        <x:v>Research</x:v>
      </x:c>
      <x:c r="K18" s="48" t="n">
        <x:f>SUM('Monthly P&amp;L'!$B$47:$M$47)</x:f>
        <x:v>46310</x:v>
      </x:c>
      <x:c r="L18" s="2"/>
      <x:c r="M18" s="2"/>
      <x:c r="N18" s="2"/>
      <x:c r="O18" s="2"/>
      <x:c r="P18" s="2"/>
    </x:row>
    <x:row r="19">
      <x:c r="A19" s="2"/>
      <x:c r="B19" s="2"/>
      <x:c r="C19" s="2"/>
      <x:c r="D19" s="2"/>
      <x:c r="E19" s="2"/>
      <x:c r="F19" s="2"/>
      <x:c r="G19" s="2"/>
      <x:c r="H19" s="2"/>
      <x:c r="I19" s="2"/>
      <x:c r="J19" s="2" t="str">
        <x:v>Overhead &amp; contingency</x:v>
      </x:c>
      <x:c r="K19" s="48" t="n">
        <x:f>SUM('Monthly P&amp;L'!$B$30:$M$30)+SUM('Monthly P&amp;L'!$B$41:$M$46)+SUM('Monthly P&amp;L'!$B$48:$M$48)+SUM('Monthly P&amp;L'!$B$50:$M$50)</x:f>
        <x:v>616388.116</x:v>
      </x:c>
      <x:c r="L19" s="2"/>
      <x:c r="M19" s="2"/>
      <x:c r="N19" s="2"/>
      <x:c r="O19" s="2"/>
      <x:c r="P19" s="2"/>
    </x:row>
    <x:row r="20">
      <x:c r="A20" s="2"/>
      <x:c r="B20" s="2"/>
      <x:c r="C20" s="2"/>
      <x:c r="D20" s="2"/>
      <x:c r="E20" s="2"/>
      <x:c r="F20" s="2"/>
      <x:c r="G20" s="2"/>
      <x:c r="H20" s="2"/>
      <x:c r="I20" s="2"/>
      <x:c r="J20" s="2"/>
      <x:c r="K20" s="2"/>
      <x:c r="L20" s="2"/>
      <x:c r="M20" s="2"/>
      <x:c r="N20" s="2"/>
      <x:c r="O20" s="2"/>
      <x:c r="P20" s="2"/>
    </x:row>
    <x:row r="21">
      <x:c r="A21" s="2"/>
      <x:c r="B21" s="2"/>
      <x:c r="C21" s="2"/>
      <x:c r="D21" s="2"/>
      <x:c r="E21" s="2"/>
      <x:c r="F21" s="2"/>
      <x:c r="G21" s="2"/>
      <x:c r="H21" s="2"/>
      <x:c r="I21" s="2"/>
      <x:c r="J21" s="2"/>
      <x:c r="K21" s="2"/>
      <x:c r="L21" s="2"/>
      <x:c r="M21" s="2"/>
      <x:c r="N21" s="2"/>
      <x:c r="O21" s="2"/>
      <x:c r="P21" s="2"/>
    </x:row>
    <x:row r="22">
      <x:c r="A22" s="2"/>
      <x:c r="B22" s="2"/>
      <x:c r="C22" s="2"/>
      <x:c r="D22" s="2"/>
      <x:c r="E22" s="2"/>
      <x:c r="F22" s="2"/>
      <x:c r="G22" s="2"/>
      <x:c r="H22" s="2"/>
      <x:c r="I22" s="2"/>
      <x:c r="J22" s="2"/>
      <x:c r="K22" s="2"/>
      <x:c r="L22" s="2"/>
      <x:c r="M22" s="2"/>
      <x:c r="N22" s="2"/>
      <x:c r="O22" s="2"/>
      <x:c r="P22" s="2"/>
    </x:row>
    <x:row r="23">
      <x:c r="A23" s="2"/>
      <x:c r="B23" s="2"/>
      <x:c r="C23" s="2"/>
      <x:c r="D23" s="2"/>
      <x:c r="E23" s="2"/>
      <x:c r="F23" s="2"/>
      <x:c r="G23" s="2"/>
      <x:c r="H23" s="2"/>
      <x:c r="I23" s="2"/>
      <x:c r="J23" s="2"/>
      <x:c r="K23" s="2"/>
      <x:c r="L23" s="2"/>
      <x:c r="M23" s="2"/>
      <x:c r="N23" s="2"/>
      <x:c r="O23" s="2"/>
      <x:c r="P23" s="2"/>
    </x:row>
    <x:row r="24">
      <x:c r="A24" s="2"/>
      <x:c r="B24" s="2"/>
      <x:c r="C24" s="2"/>
      <x:c r="D24" s="2"/>
      <x:c r="E24" s="2"/>
      <x:c r="F24" s="2"/>
      <x:c r="G24" s="2"/>
      <x:c r="H24" s="2"/>
      <x:c r="I24" s="2"/>
      <x:c r="J24" s="2"/>
      <x:c r="K24" s="2"/>
      <x:c r="L24" s="2"/>
      <x:c r="M24" s="2"/>
      <x:c r="N24" s="2"/>
      <x:c r="O24" s="2"/>
      <x:c r="P24" s="2"/>
    </x:row>
    <x:row r="25">
      <x:c r="A25" s="2"/>
      <x:c r="B25" s="2"/>
      <x:c r="C25" s="2"/>
      <x:c r="D25" s="2"/>
      <x:c r="E25" s="2"/>
      <x:c r="F25" s="2"/>
      <x:c r="G25" s="2"/>
      <x:c r="H25" s="2"/>
      <x:c r="I25" s="2"/>
      <x:c r="J25" s="2"/>
      <x:c r="K25" s="2"/>
      <x:c r="L25" s="2"/>
      <x:c r="M25" s="2"/>
      <x:c r="N25" s="2"/>
      <x:c r="O25" s="2"/>
      <x:c r="P25" s="2"/>
    </x:row>
    <x:row r="26">
      <x:c r="A26" s="2"/>
      <x:c r="B26" s="2"/>
      <x:c r="C26" s="2"/>
      <x:c r="D26" s="2"/>
      <x:c r="E26" s="2"/>
      <x:c r="F26" s="2"/>
      <x:c r="G26" s="2"/>
      <x:c r="H26" s="2"/>
      <x:c r="I26" s="2"/>
      <x:c r="J26" s="2"/>
      <x:c r="K26" s="2"/>
      <x:c r="L26" s="2"/>
      <x:c r="M26" s="2"/>
      <x:c r="N26" s="2"/>
      <x:c r="O26" s="2"/>
      <x:c r="P26" s="2"/>
    </x:row>
    <x:row r="27">
      <x:c r="A27" s="2"/>
      <x:c r="B27" s="2"/>
      <x:c r="C27" s="2"/>
      <x:c r="D27" s="2"/>
      <x:c r="E27" s="2"/>
      <x:c r="F27" s="2"/>
      <x:c r="G27" s="2"/>
      <x:c r="H27" s="2"/>
      <x:c r="I27" s="2"/>
      <x:c r="J27" s="2"/>
      <x:c r="K27" s="2"/>
      <x:c r="L27" s="2"/>
      <x:c r="M27" s="2"/>
      <x:c r="N27" s="2"/>
      <x:c r="O27" s="2"/>
      <x:c r="P27" s="2"/>
    </x:row>
    <x:row r="28">
      <x:c r="A28" s="2"/>
      <x:c r="B28" s="2"/>
      <x:c r="C28" s="2"/>
      <x:c r="D28" s="2"/>
      <x:c r="E28" s="2"/>
      <x:c r="F28" s="2"/>
      <x:c r="G28" s="2"/>
      <x:c r="H28" s="2"/>
      <x:c r="I28" s="2"/>
      <x:c r="J28" s="2"/>
      <x:c r="K28" s="2"/>
      <x:c r="L28" s="2"/>
      <x:c r="M28" s="2"/>
      <x:c r="N28" s="2"/>
      <x:c r="O28" s="2"/>
      <x:c r="P28" s="2"/>
    </x:row>
    <x:row r="29">
      <x:c r="A29" s="2"/>
      <x:c r="B29" s="2"/>
      <x:c r="C29" s="2"/>
      <x:c r="D29" s="2"/>
      <x:c r="E29" s="2"/>
      <x:c r="F29" s="2"/>
      <x:c r="G29" s="2"/>
      <x:c r="H29" s="2"/>
      <x:c r="I29" s="2"/>
      <x:c r="J29" s="2"/>
      <x:c r="K29" s="2"/>
      <x:c r="L29" s="2"/>
      <x:c r="M29" s="2"/>
      <x:c r="N29" s="2"/>
      <x:c r="O29" s="2"/>
      <x:c r="P29" s="2"/>
    </x:row>
    <x:row r="30">
      <x:c r="A30" s="2"/>
      <x:c r="B30" s="2"/>
      <x:c r="C30" s="2"/>
      <x:c r="D30" s="2"/>
      <x:c r="E30" s="2"/>
      <x:c r="F30" s="2"/>
      <x:c r="G30" s="2"/>
      <x:c r="H30" s="2"/>
      <x:c r="I30" s="2"/>
      <x:c r="J30" s="2"/>
      <x:c r="K30" s="2"/>
      <x:c r="L30" s="2"/>
      <x:c r="M30" s="2"/>
      <x:c r="N30" s="2"/>
      <x:c r="O30" s="2"/>
      <x:c r="P30" s="2"/>
    </x:row>
    <x:row r="31">
      <x:c r="A31" s="2"/>
      <x:c r="B31" s="2"/>
      <x:c r="C31" s="2"/>
      <x:c r="D31" s="2"/>
      <x:c r="E31" s="2"/>
      <x:c r="F31" s="2"/>
      <x:c r="G31" s="2"/>
      <x:c r="H31" s="2"/>
      <x:c r="I31" s="2"/>
      <x:c r="J31" s="2"/>
      <x:c r="K31" s="2"/>
      <x:c r="L31" s="2"/>
      <x:c r="M31" s="2"/>
      <x:c r="N31" s="2"/>
      <x:c r="O31" s="2"/>
      <x:c r="P31" s="2"/>
    </x:row>
    <x:row r="32">
      <x:c r="A32" s="2"/>
      <x:c r="B32" s="2"/>
      <x:c r="C32" s="2"/>
      <x:c r="D32" s="2"/>
      <x:c r="E32" s="2"/>
      <x:c r="F32" s="2"/>
      <x:c r="G32" s="2"/>
      <x:c r="H32" s="2"/>
      <x:c r="I32" s="2"/>
      <x:c r="J32" s="2"/>
      <x:c r="K32" s="2"/>
      <x:c r="L32" s="2"/>
      <x:c r="M32" s="2"/>
      <x:c r="N32" s="2"/>
      <x:c r="O32" s="2"/>
      <x:c r="P32" s="2"/>
    </x:row>
    <x:row r="33">
      <x:c r="A33" s="2"/>
      <x:c r="B33" s="2"/>
      <x:c r="C33" s="2"/>
      <x:c r="D33" s="2"/>
      <x:c r="E33" s="2"/>
      <x:c r="F33" s="2"/>
      <x:c r="G33" s="2"/>
      <x:c r="H33" s="2"/>
      <x:c r="I33" s="2"/>
      <x:c r="J33" s="2"/>
      <x:c r="K33" s="2"/>
      <x:c r="L33" s="2"/>
      <x:c r="M33" s="2"/>
      <x:c r="N33" s="2"/>
      <x:c r="O33" s="2"/>
      <x:c r="P33" s="2"/>
    </x:row>
    <x:row r="34">
      <x:c r="A34" s="2"/>
      <x:c r="B34" s="2"/>
      <x:c r="C34" s="2"/>
      <x:c r="D34" s="2"/>
      <x:c r="E34" s="2"/>
      <x:c r="F34" s="2"/>
      <x:c r="G34" s="2"/>
      <x:c r="H34" s="2"/>
      <x:c r="I34" s="2"/>
      <x:c r="J34" s="2"/>
      <x:c r="K34" s="2"/>
      <x:c r="L34" s="2"/>
      <x:c r="M34" s="2"/>
      <x:c r="N34" s="2"/>
      <x:c r="O34" s="2"/>
      <x:c r="P34" s="2"/>
    </x:row>
    <x:row r="35">
      <x:c r="A35" s="2"/>
      <x:c r="B35" s="2"/>
      <x:c r="C35" s="2"/>
      <x:c r="D35" s="2"/>
      <x:c r="E35" s="2"/>
      <x:c r="F35" s="2"/>
      <x:c r="G35" s="2"/>
      <x:c r="H35" s="2"/>
      <x:c r="I35" s="2"/>
      <x:c r="J35" s="2"/>
      <x:c r="K35" s="2"/>
      <x:c r="L35" s="2"/>
      <x:c r="M35" s="2"/>
      <x:c r="N35" s="2"/>
      <x:c r="O35" s="2"/>
      <x:c r="P35" s="2"/>
    </x:row>
    <x:row r="36">
      <x:c r="A36" s="2"/>
      <x:c r="B36" s="2"/>
      <x:c r="C36" s="2"/>
      <x:c r="D36" s="2"/>
      <x:c r="E36" s="2"/>
      <x:c r="F36" s="2"/>
      <x:c r="G36" s="2"/>
      <x:c r="H36" s="2"/>
      <x:c r="I36" s="2"/>
      <x:c r="J36" s="2"/>
      <x:c r="K36" s="2"/>
      <x:c r="L36" s="2"/>
      <x:c r="M36" s="2"/>
      <x:c r="N36" s="2"/>
      <x:c r="O36" s="2"/>
      <x:c r="P36" s="2"/>
    </x:row>
    <x:row r="37">
      <x:c r="A37" s="2"/>
      <x:c r="B37" s="2"/>
      <x:c r="C37" s="2"/>
      <x:c r="D37" s="2"/>
      <x:c r="E37" s="2"/>
      <x:c r="F37" s="2"/>
      <x:c r="G37" s="2"/>
      <x:c r="H37" s="2"/>
      <x:c r="I37" s="2"/>
      <x:c r="J37" s="2"/>
      <x:c r="K37" s="2"/>
      <x:c r="L37" s="2"/>
      <x:c r="M37" s="2"/>
      <x:c r="N37" s="2"/>
      <x:c r="O37" s="2"/>
      <x:c r="P37" s="2"/>
    </x:row>
    <x:row r="38">
      <x:c r="A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B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C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D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E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F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G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H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I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J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K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L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M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N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O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P38"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row>
    <x:row r="39">
      <x:c r="A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B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C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D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E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F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G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H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I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J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K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L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M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N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O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P39"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row>
    <x:row r="40">
      <x:c r="A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B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C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D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E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F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G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H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I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J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K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L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M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N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O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P40"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row>
    <x:row r="41">
      <x:c r="A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B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C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D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E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F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G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H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I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J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K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L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M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N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O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c r="P41" s="26" t="str">
        <x:v>The 33⅓% / 33⅓% / 33⅓% split is shown as a post-cost mission allocation schedule. It does not replace minimum guarantees, collection-society fees, master, composition, synchronisation, event-catalogue or fashion-content licences included above the line. Legal and accounting treatment must be confirmed before contracts are signed.</x:v>
      </x:c>
    </x:row>
    <x:row r="42">
      <x:c r="A42" s="2"/>
      <x:c r="B42" s="2"/>
      <x:c r="C42" s="2"/>
      <x:c r="D42" s="2"/>
      <x:c r="E42" s="2"/>
      <x:c r="F42" s="2"/>
      <x:c r="G42" s="2"/>
      <x:c r="H42" s="2"/>
      <x:c r="I42" s="2"/>
      <x:c r="J42" s="2"/>
      <x:c r="K42" s="2"/>
      <x:c r="L42" s="2"/>
      <x:c r="M42" s="2"/>
      <x:c r="N42" s="2"/>
      <x:c r="O42" s="2"/>
      <x:c r="P42" s="2"/>
    </x:row>
  </x:sheetData>
  <x:mergeCells>
    <x:mergeCell ref="A1:H2"/>
    <x:mergeCell ref="A38:P41"/>
  </x:mergeCells>
  <x:conditionalFormatting sqref="E4:E4">
    <x:cfRule type="containsText" dxfId="0" priority="1" operator="containsText" text="PASS"/>
    <x:cfRule type="containsText" dxfId="1" priority="2" operator="containsText" text="FAIL"/>
  </x:conditionalFormatting>
  <x:dataValidations count="1">
    <x:dataValidation type="list" sqref="B4">
      <x:formula1>"Pilot,Base,Scale"</x:formula1>
    </x:dataValidation>
  </x:dataValidations>
  <x:pageMargins left="0.7" right="0.7" top="0.75" bottom="0.75" header="0.3" footer="0.3"/>
  <x:drawing xmlns:r="http://schemas.openxmlformats.org/officeDocument/2006/relationships" r:id="R116e4a128f974145"/>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14" hidden="0" customWidth="1"/>
    <x:col min="4" max="4" width="14" hidden="0" customWidth="1"/>
    <x:col min="5" max="5" width="14" hidden="0" customWidth="1"/>
    <x:col min="6" max="6" width="33" hidden="0" customWidth="1"/>
    <x:col min="7" max="7" width="16" hidden="0" customWidth="1"/>
  </x:cols>
  <x:sheetData>
    <x:row r="1">
      <x:c r="A1" s="72" t="str">
        <x:v>Assumptions — edit yellow cells</x:v>
      </x:c>
      <x:c r="B1" s="72" t="str">
        <x:v>Assumptions — edit yellow cells</x:v>
      </x:c>
      <x:c r="C1" s="72" t="str">
        <x:v>Assumptions — edit yellow cells</x:v>
      </x:c>
      <x:c r="D1" s="72" t="str">
        <x:v>Assumptions — edit yellow cells</x:v>
      </x:c>
      <x:c r="E1" s="72" t="str">
        <x:v>Assumptions — edit yellow cells</x:v>
      </x:c>
      <x:c r="F1" s="72" t="str">
        <x:v>Assumptions — edit yellow cells</x:v>
      </x:c>
      <x:c r="G1" s="72" t="str">
        <x:v>Assumptions — edit yellow cells</x:v>
      </x:c>
    </x:row>
    <x:row r="2">
      <x:c r="A2" s="72" t="str">
        <x:v>Assumptions — edit yellow cells</x:v>
      </x:c>
      <x:c r="B2" s="72" t="str">
        <x:v>Assumptions — edit yellow cells</x:v>
      </x:c>
      <x:c r="C2" s="72" t="str">
        <x:v>Assumptions — edit yellow cells</x:v>
      </x:c>
      <x:c r="D2" s="72" t="str">
        <x:v>Assumptions — edit yellow cells</x:v>
      </x:c>
      <x:c r="E2" s="72" t="str">
        <x:v>Assumptions — edit yellow cells</x:v>
      </x:c>
      <x:c r="F2" s="72" t="str">
        <x:v>Assumptions — edit yellow cells</x:v>
      </x:c>
      <x:c r="G2" s="72" t="str">
        <x:v>Assumptions — edit yellow cells</x:v>
      </x:c>
    </x:row>
    <x:row r="3">
      <x:c r="A3" s="74" t="str">
        <x:v>Values are planning assumptions unless a source reference is shown. Selected case is controlled from Summary!B4.</x:v>
      </x:c>
      <x:c r="B3" s="74" t="str">
        <x:v>Values are planning assumptions unless a source reference is shown. Selected case is controlled from Summary!B4.</x:v>
      </x:c>
      <x:c r="C3" s="74" t="str">
        <x:v>Values are planning assumptions unless a source reference is shown. Selected case is controlled from Summary!B4.</x:v>
      </x:c>
      <x:c r="D3" s="74" t="str">
        <x:v>Values are planning assumptions unless a source reference is shown. Selected case is controlled from Summary!B4.</x:v>
      </x:c>
      <x:c r="E3" s="74" t="str">
        <x:v>Values are planning assumptions unless a source reference is shown. Selected case is controlled from Summary!B4.</x:v>
      </x:c>
      <x:c r="F3" s="74" t="str">
        <x:v>Values are planning assumptions unless a source reference is shown. Selected case is controlled from Summary!B4.</x:v>
      </x:c>
      <x:c r="G3" s="74" t="str">
        <x:v>Values are planning assumptions unless a source reference is shown. Selected case is controlled from Summary!B4.</x:v>
      </x:c>
    </x:row>
    <x:row r="4">
      <x:c r="A4" s="69"/>
      <x:c r="B4" s="69"/>
      <x:c r="C4" s="69"/>
      <x:c r="D4" s="69"/>
      <x:c r="E4" s="69"/>
      <x:c r="F4" s="69"/>
      <x:c r="G4" s="69"/>
    </x:row>
    <x:row r="5">
      <x:c r="A5" s="95" t="str">
        <x:v>Driver</x:v>
      </x:c>
      <x:c r="B5" s="96" t="str">
        <x:v>Unit</x:v>
      </x:c>
      <x:c r="C5" s="96" t="str">
        <x:v>Pilot</x:v>
      </x:c>
      <x:c r="D5" s="96" t="str">
        <x:v>Base</x:v>
      </x:c>
      <x:c r="E5" s="96" t="str">
        <x:v>Scale</x:v>
      </x:c>
      <x:c r="F5" s="96" t="str">
        <x:v>Source / note</x:v>
      </x:c>
      <x:c r="G5" s="96" t="str">
        <x:v>Selected</x:v>
      </x:c>
    </x:row>
    <x:row r="6">
      <x:c r="A6" s="121" t="str">
        <x:v>Starting government-funded seats</x:v>
      </x:c>
      <x:c r="B6" s="122" t="str">
        <x:v>seats</x:v>
      </x:c>
      <x:c r="C6" s="123" t="n">
        <x:v>250</x:v>
      </x:c>
      <x:c r="D6" s="123" t="n">
        <x:v>1000</x:v>
      </x:c>
      <x:c r="E6" s="123" t="n">
        <x:v>5000</x:v>
      </x:c>
      <x:c r="F6" s="124" t="str">
        <x:v>USER-A / planning assumption</x:v>
      </x:c>
      <x:c r="G6" s="125" t="n">
        <x:f>INDEX($C6:$E6,1,MATCH('Summary'!$B$4,$C$5:$E$5,0))</x:f>
        <x:v>1000</x:v>
      </x:c>
    </x:row>
    <x:row r="7">
      <x:c r="A7" s="121" t="str">
        <x:v>Monthly funded-seat growth</x:v>
      </x:c>
      <x:c r="B7" s="122" t="str">
        <x:v>% / month</x:v>
      </x:c>
      <x:c r="C7" s="126" t="n">
        <x:v>0.03</x:v>
      </x:c>
      <x:c r="D7" s="126" t="n">
        <x:v>0.05</x:v>
      </x:c>
      <x:c r="E7" s="126" t="n">
        <x:v>0.06</x:v>
      </x:c>
      <x:c r="F7" s="127" t="str">
        <x:v>Planning assumption</x:v>
      </x:c>
      <x:c r="G7" s="128" t="n">
        <x:f>INDEX($C7:$E7,1,MATCH('Summary'!$B$4,$C$5:$E$5,0))</x:f>
        <x:v>0.05</x:v>
      </x:c>
    </x:row>
    <x:row r="8">
      <x:c r="A8" s="121" t="str">
        <x:v>Government subscription price</x:v>
      </x:c>
      <x:c r="B8" s="122" t="str">
        <x:v>A$ / seat / month</x:v>
      </x:c>
      <x:c r="C8" s="129" t="n">
        <x:v>25</x:v>
      </x:c>
      <x:c r="D8" s="129" t="n">
        <x:v>30</x:v>
      </x:c>
      <x:c r="E8" s="129" t="n">
        <x:v>35</x:v>
      </x:c>
      <x:c r="F8" s="130" t="str">
        <x:v>USER-A / planning assumption</x:v>
      </x:c>
      <x:c r="G8" s="131" t="n">
        <x:f>INDEX($C8:$E8,1,MATCH('Summary'!$B$4,$C$5:$E$5,0))</x:f>
        <x:v>30</x:v>
      </x:c>
    </x:row>
    <x:row r="9">
      <x:c r="A9" s="121" t="str">
        <x:v>Government grants</x:v>
      </x:c>
      <x:c r="B9" s="122" t="str">
        <x:v>A$ / year</x:v>
      </x:c>
      <x:c r="C9" s="129" t="n">
        <x:v>250000</x:v>
      </x:c>
      <x:c r="D9" s="129" t="n">
        <x:v>750000</x:v>
      </x:c>
      <x:c r="E9" s="129" t="n">
        <x:v>2000000</x:v>
      </x:c>
      <x:c r="F9" s="130" t="str">
        <x:v>USER-A / planning assumption</x:v>
      </x:c>
      <x:c r="G9" s="131" t="n">
        <x:f>INDEX($C9:$E9,1,MATCH('Summary'!$B$4,$C$5:$E$5,0))</x:f>
        <x:v>750000</x:v>
      </x:c>
    </x:row>
    <x:row r="10">
      <x:c r="A10" s="121" t="str">
        <x:v>Native content partners</x:v>
      </x:c>
      <x:c r="B10" s="122" t="str">
        <x:v>average partners</x:v>
      </x:c>
      <x:c r="C10" s="123" t="n">
        <x:v>2</x:v>
      </x:c>
      <x:c r="D10" s="123" t="n">
        <x:v>4</x:v>
      </x:c>
      <x:c r="E10" s="123" t="n">
        <x:v>8</x:v>
      </x:c>
      <x:c r="F10" s="124" t="str">
        <x:v>USER-A / planning assumption</x:v>
      </x:c>
      <x:c r="G10" s="125" t="n">
        <x:f>INDEX($C10:$E10,1,MATCH('Summary'!$B$4,$C$5:$E$5,0))</x:f>
        <x:v>4</x:v>
      </x:c>
    </x:row>
    <x:row r="11">
      <x:c r="A11" s="121" t="str">
        <x:v>Native partner value</x:v>
      </x:c>
      <x:c r="B11" s="122" t="str">
        <x:v>A$ / partner / month</x:v>
      </x:c>
      <x:c r="C11" s="129" t="n">
        <x:v>5000</x:v>
      </x:c>
      <x:c r="D11" s="129" t="n">
        <x:v>12500</x:v>
      </x:c>
      <x:c r="E11" s="129" t="n">
        <x:v>25000</x:v>
      </x:c>
      <x:c r="F11" s="130" t="str">
        <x:v>USER-A / planning assumption</x:v>
      </x:c>
      <x:c r="G11" s="131" t="n">
        <x:f>INDEX($C11:$E11,1,MATCH('Summary'!$B$4,$C$5:$E$5,0))</x:f>
        <x:v>12500</x:v>
      </x:c>
    </x:row>
    <x:row r="12">
      <x:c r="A12" s="121" t="str">
        <x:v>Affiliate gross merchandise value</x:v>
      </x:c>
      <x:c r="B12" s="122" t="str">
        <x:v>A$ / seat / month</x:v>
      </x:c>
      <x:c r="C12" s="129" t="n">
        <x:v>8</x:v>
      </x:c>
      <x:c r="D12" s="129" t="n">
        <x:v>15</x:v>
      </x:c>
      <x:c r="E12" s="129" t="n">
        <x:v>25</x:v>
      </x:c>
      <x:c r="F12" s="130" t="str">
        <x:v>USER-A / planning assumption</x:v>
      </x:c>
      <x:c r="G12" s="131" t="n">
        <x:f>INDEX($C12:$E12,1,MATCH('Summary'!$B$4,$C$5:$E$5,0))</x:f>
        <x:v>15</x:v>
      </x:c>
    </x:row>
    <x:row r="13">
      <x:c r="A13" s="121" t="str">
        <x:v>Affiliate commission</x:v>
      </x:c>
      <x:c r="B13" s="122" t="str">
        <x:v>% of GMV</x:v>
      </x:c>
      <x:c r="C13" s="126" t="n">
        <x:v>0.077</x:v>
      </x:c>
      <x:c r="D13" s="126" t="n">
        <x:v>0.077</x:v>
      </x:c>
      <x:c r="E13" s="126" t="n">
        <x:v>0.077</x:v>
      </x:c>
      <x:c r="F13" s="127" t="str">
        <x:v>USER-A</x:v>
      </x:c>
      <x:c r="G13" s="128" t="n">
        <x:f>INDEX($C13:$E13,1,MATCH('Summary'!$B$4,$C$5:$E$5,0))</x:f>
        <x:v>0.077</x:v>
      </x:c>
    </x:row>
    <x:row r="14" ht="24" customHeight="1">
      <x:c r="A14" s="132" t="str">
        <x:v>USAGE &amp; VENDOR RATES</x:v>
      </x:c>
      <x:c r="B14" s="133" t="str">
        <x:v>USAGE &amp; VENDOR RATES</x:v>
      </x:c>
      <x:c r="C14" s="133" t="str">
        <x:v>USAGE &amp; VENDOR RATES</x:v>
      </x:c>
      <x:c r="D14" s="133" t="str">
        <x:v>USAGE &amp; VENDOR RATES</x:v>
      </x:c>
      <x:c r="E14" s="133" t="str">
        <x:v>USAGE &amp; VENDOR RATES</x:v>
      </x:c>
      <x:c r="F14" s="133" t="str">
        <x:v>USAGE &amp; VENDOR RATES</x:v>
      </x:c>
      <x:c r="G14" s="133" t="str">
        <x:v>USAGE &amp; VENDOR RATES</x:v>
      </x:c>
    </x:row>
    <x:row r="15">
      <x:c r="A15" s="121" t="str">
        <x:v>Agora voice-room use</x:v>
      </x:c>
      <x:c r="B15" s="122" t="str">
        <x:v>participant min / seat / month</x:v>
      </x:c>
      <x:c r="C15" s="123" t="n">
        <x:v>30</x:v>
      </x:c>
      <x:c r="D15" s="123" t="n">
        <x:v>45</x:v>
      </x:c>
      <x:c r="E15" s="123" t="n">
        <x:v>60</x:v>
      </x:c>
      <x:c r="F15" s="124" t="str">
        <x:v>Planning assumption</x:v>
      </x:c>
      <x:c r="G15" s="125" t="n">
        <x:f>INDEX($C15:$E15,1,MATCH('Summary'!$B$4,$C$5:$E$5,0))</x:f>
        <x:v>45</x:v>
      </x:c>
    </x:row>
    <x:row r="16">
      <x:c r="A16" s="121" t="str">
        <x:v>Agora free allowance</x:v>
      </x:c>
      <x:c r="B16" s="122" t="str">
        <x:v>participant min / month</x:v>
      </x:c>
      <x:c r="C16" s="123" t="n">
        <x:v>10000</x:v>
      </x:c>
      <x:c r="D16" s="123" t="n">
        <x:v>10000</x:v>
      </x:c>
      <x:c r="E16" s="123" t="n">
        <x:v>10000</x:v>
      </x:c>
      <x:c r="F16" s="124" t="str">
        <x:v>SRC-03</x:v>
      </x:c>
      <x:c r="G16" s="125" t="n">
        <x:f>INDEX($C16:$E16,1,MATCH('Summary'!$B$4,$C$5:$E$5,0))</x:f>
        <x:v>10000</x:v>
      </x:c>
    </x:row>
    <x:row r="17">
      <x:c r="A17" s="121" t="str">
        <x:v>Agora audio-only rate</x:v>
      </x:c>
      <x:c r="B17" s="122" t="str">
        <x:v>US$ / 1,000 participant min</x:v>
      </x:c>
      <x:c r="C17" s="134" t="n">
        <x:v>0.99</x:v>
      </x:c>
      <x:c r="D17" s="134" t="n">
        <x:v>0.99</x:v>
      </x:c>
      <x:c r="E17" s="134" t="n">
        <x:v>0.99</x:v>
      </x:c>
      <x:c r="F17" s="135" t="str">
        <x:v>SRC-03</x:v>
      </x:c>
      <x:c r="G17" s="136" t="n">
        <x:f>INDEX($C17:$E17,1,MATCH('Summary'!$B$4,$C$5:$E$5,0))</x:f>
        <x:v>0.99</x:v>
      </x:c>
    </x:row>
    <x:row r="18">
      <x:c r="A18" s="121" t="str">
        <x:v>GPT inference interactions</x:v>
      </x:c>
      <x:c r="B18" s="122" t="str">
        <x:v>interactions / seat / month</x:v>
      </x:c>
      <x:c r="C18" s="123" t="n">
        <x:v>5</x:v>
      </x:c>
      <x:c r="D18" s="123" t="n">
        <x:v>8</x:v>
      </x:c>
      <x:c r="E18" s="123" t="n">
        <x:v>12</x:v>
      </x:c>
      <x:c r="F18" s="124" t="str">
        <x:v>Planning assumption</x:v>
      </x:c>
      <x:c r="G18" s="125" t="n">
        <x:f>INDEX($C18:$E18,1,MATCH('Summary'!$B$4,$C$5:$E$5,0))</x:f>
        <x:v>8</x:v>
      </x:c>
    </x:row>
    <x:row r="19">
      <x:c r="A19" s="121" t="str">
        <x:v>GPT input tokens</x:v>
      </x:c>
      <x:c r="B19" s="122" t="str">
        <x:v>tokens / interaction</x:v>
      </x:c>
      <x:c r="C19" s="123" t="n">
        <x:v>1800</x:v>
      </x:c>
      <x:c r="D19" s="123" t="n">
        <x:v>1800</x:v>
      </x:c>
      <x:c r="E19" s="123" t="n">
        <x:v>1800</x:v>
      </x:c>
      <x:c r="F19" s="124" t="str">
        <x:v>Pilot telemetry required</x:v>
      </x:c>
      <x:c r="G19" s="125" t="n">
        <x:f>INDEX($C19:$E19,1,MATCH('Summary'!$B$4,$C$5:$E$5,0))</x:f>
        <x:v>1800</x:v>
      </x:c>
    </x:row>
    <x:row r="20">
      <x:c r="A20" s="121" t="str">
        <x:v>GPT output tokens</x:v>
      </x:c>
      <x:c r="B20" s="122" t="str">
        <x:v>tokens / interaction</x:v>
      </x:c>
      <x:c r="C20" s="123" t="n">
        <x:v>250</x:v>
      </x:c>
      <x:c r="D20" s="123" t="n">
        <x:v>250</x:v>
      </x:c>
      <x:c r="E20" s="123" t="n">
        <x:v>250</x:v>
      </x:c>
      <x:c r="F20" s="124" t="str">
        <x:v>Pilot telemetry required</x:v>
      </x:c>
      <x:c r="G20" s="125" t="n">
        <x:f>INDEX($C20:$E20,1,MATCH('Summary'!$B$4,$C$5:$E$5,0))</x:f>
        <x:v>250</x:v>
      </x:c>
    </x:row>
    <x:row r="21">
      <x:c r="A21" s="121" t="str">
        <x:v>GPT-5.6 Terra input</x:v>
      </x:c>
      <x:c r="B21" s="122" t="str">
        <x:v>US$ / 1M tokens</x:v>
      </x:c>
      <x:c r="C21" s="134" t="n">
        <x:v>2.5</x:v>
      </x:c>
      <x:c r="D21" s="134" t="n">
        <x:v>2.5</x:v>
      </x:c>
      <x:c r="E21" s="134" t="n">
        <x:v>2.5</x:v>
      </x:c>
      <x:c r="F21" s="135" t="str">
        <x:v>SRC-01</x:v>
      </x:c>
      <x:c r="G21" s="136" t="n">
        <x:f>INDEX($C21:$E21,1,MATCH('Summary'!$B$4,$C$5:$E$5,0))</x:f>
        <x:v>2.5</x:v>
      </x:c>
    </x:row>
    <x:row r="22">
      <x:c r="A22" s="121" t="str">
        <x:v>GPT-5.6 Terra output</x:v>
      </x:c>
      <x:c r="B22" s="122" t="str">
        <x:v>US$ / 1M tokens</x:v>
      </x:c>
      <x:c r="C22" s="134" t="n">
        <x:v>15</x:v>
      </x:c>
      <x:c r="D22" s="134" t="n">
        <x:v>15</x:v>
      </x:c>
      <x:c r="E22" s="134" t="n">
        <x:v>15</x:v>
      </x:c>
      <x:c r="F22" s="135" t="str">
        <x:v>SRC-01</x:v>
      </x:c>
      <x:c r="G22" s="136" t="n">
        <x:f>INDEX($C22:$E22,1,MATCH('Summary'!$B$4,$C$5:$E$5,0))</x:f>
        <x:v>15</x:v>
      </x:c>
    </x:row>
    <x:row r="23">
      <x:c r="A23" s="121" t="str">
        <x:v>Realtime voice assistant use</x:v>
      </x:c>
      <x:c r="B23" s="122" t="str">
        <x:v>session min / seat / month</x:v>
      </x:c>
      <x:c r="C23" s="123" t="n">
        <x:v>4</x:v>
      </x:c>
      <x:c r="D23" s="123" t="n">
        <x:v>8</x:v>
      </x:c>
      <x:c r="E23" s="123" t="n">
        <x:v>12</x:v>
      </x:c>
      <x:c r="F23" s="124" t="str">
        <x:v>Planning assumption</x:v>
      </x:c>
      <x:c r="G23" s="125" t="n">
        <x:f>INDEX($C23:$E23,1,MATCH('Summary'!$B$4,$C$5:$E$5,0))</x:f>
        <x:v>8</x:v>
      </x:c>
    </x:row>
    <x:row r="24">
      <x:c r="A24" s="121" t="str">
        <x:v>Realtime audio input</x:v>
      </x:c>
      <x:c r="B24" s="122" t="str">
        <x:v>tokens / session min</x:v>
      </x:c>
      <x:c r="C24" s="123" t="n">
        <x:v>750</x:v>
      </x:c>
      <x:c r="D24" s="123" t="n">
        <x:v>750</x:v>
      </x:c>
      <x:c r="E24" s="123" t="n">
        <x:v>750</x:v>
      </x:c>
      <x:c r="F24" s="124" t="str">
        <x:v>Pilot telemetry required</x:v>
      </x:c>
      <x:c r="G24" s="125" t="n">
        <x:f>INDEX($C24:$E24,1,MATCH('Summary'!$B$4,$C$5:$E$5,0))</x:f>
        <x:v>750</x:v>
      </x:c>
    </x:row>
    <x:row r="25">
      <x:c r="A25" s="121" t="str">
        <x:v>Realtime audio output</x:v>
      </x:c>
      <x:c r="B25" s="122" t="str">
        <x:v>tokens / session min</x:v>
      </x:c>
      <x:c r="C25" s="123" t="n">
        <x:v>750</x:v>
      </x:c>
      <x:c r="D25" s="123" t="n">
        <x:v>750</x:v>
      </x:c>
      <x:c r="E25" s="123" t="n">
        <x:v>750</x:v>
      </x:c>
      <x:c r="F25" s="124" t="str">
        <x:v>Pilot telemetry required</x:v>
      </x:c>
      <x:c r="G25" s="125" t="n">
        <x:f>INDEX($C25:$E25,1,MATCH('Summary'!$B$4,$C$5:$E$5,0))</x:f>
        <x:v>750</x:v>
      </x:c>
    </x:row>
    <x:row r="26">
      <x:c r="A26" s="121" t="str">
        <x:v>GPT-Realtime-2.1 audio input</x:v>
      </x:c>
      <x:c r="B26" s="122" t="str">
        <x:v>US$ / 1M tokens</x:v>
      </x:c>
      <x:c r="C26" s="134" t="n">
        <x:v>32</x:v>
      </x:c>
      <x:c r="D26" s="134" t="n">
        <x:v>32</x:v>
      </x:c>
      <x:c r="E26" s="134" t="n">
        <x:v>32</x:v>
      </x:c>
      <x:c r="F26" s="135" t="str">
        <x:v>SRC-02</x:v>
      </x:c>
      <x:c r="G26" s="136" t="n">
        <x:f>INDEX($C26:$E26,1,MATCH('Summary'!$B$4,$C$5:$E$5,0))</x:f>
        <x:v>32</x:v>
      </x:c>
    </x:row>
    <x:row r="27">
      <x:c r="A27" s="121" t="str">
        <x:v>GPT-Realtime-2.1 audio output</x:v>
      </x:c>
      <x:c r="B27" s="122" t="str">
        <x:v>US$ / 1M tokens</x:v>
      </x:c>
      <x:c r="C27" s="134" t="n">
        <x:v>64</x:v>
      </x:c>
      <x:c r="D27" s="134" t="n">
        <x:v>64</x:v>
      </x:c>
      <x:c r="E27" s="134" t="n">
        <x:v>64</x:v>
      </x:c>
      <x:c r="F27" s="135" t="str">
        <x:v>SRC-02</x:v>
      </x:c>
      <x:c r="G27" s="136" t="n">
        <x:f>INDEX($C27:$E27,1,MATCH('Summary'!$B$4,$C$5:$E$5,0))</x:f>
        <x:v>64</x:v>
      </x:c>
    </x:row>
    <x:row r="28">
      <x:c r="A28" s="121" t="str">
        <x:v>Cloudflare Stream delivery</x:v>
      </x:c>
      <x:c r="B28" s="122" t="str">
        <x:v>video min / seat / month</x:v>
      </x:c>
      <x:c r="C28" s="123" t="n">
        <x:v>90</x:v>
      </x:c>
      <x:c r="D28" s="123" t="n">
        <x:v>120</x:v>
      </x:c>
      <x:c r="E28" s="123" t="n">
        <x:v>180</x:v>
      </x:c>
      <x:c r="F28" s="124" t="str">
        <x:v>Planning assumption</x:v>
      </x:c>
      <x:c r="G28" s="125" t="n">
        <x:f>INDEX($C28:$E28,1,MATCH('Summary'!$B$4,$C$5:$E$5,0))</x:f>
        <x:v>120</x:v>
      </x:c>
    </x:row>
    <x:row r="29">
      <x:c r="A29" s="121" t="str">
        <x:v>Cloudflare Stream library</x:v>
      </x:c>
      <x:c r="B29" s="122" t="str">
        <x:v>stored video min</x:v>
      </x:c>
      <x:c r="C29" s="123" t="n">
        <x:v>5000</x:v>
      </x:c>
      <x:c r="D29" s="123" t="n">
        <x:v>10000</x:v>
      </x:c>
      <x:c r="E29" s="123" t="n">
        <x:v>25000</x:v>
      </x:c>
      <x:c r="F29" s="124" t="str">
        <x:v>Planning assumption</x:v>
      </x:c>
      <x:c r="G29" s="125" t="n">
        <x:f>INDEX($C29:$E29,1,MATCH('Summary'!$B$4,$C$5:$E$5,0))</x:f>
        <x:v>10000</x:v>
      </x:c>
    </x:row>
    <x:row r="30">
      <x:c r="A30" s="121" t="str">
        <x:v>Cloudflare Stream storage</x:v>
      </x:c>
      <x:c r="B30" s="122" t="str">
        <x:v>US$ / 1,000 stored min</x:v>
      </x:c>
      <x:c r="C30" s="134" t="n">
        <x:v>5</x:v>
      </x:c>
      <x:c r="D30" s="134" t="n">
        <x:v>5</x:v>
      </x:c>
      <x:c r="E30" s="134" t="n">
        <x:v>5</x:v>
      </x:c>
      <x:c r="F30" s="135" t="str">
        <x:v>SRC-04</x:v>
      </x:c>
      <x:c r="G30" s="136" t="n">
        <x:f>INDEX($C30:$E30,1,MATCH('Summary'!$B$4,$C$5:$E$5,0))</x:f>
        <x:v>5</x:v>
      </x:c>
    </x:row>
    <x:row r="31">
      <x:c r="A31" s="121" t="str">
        <x:v>Cloudflare Stream delivery</x:v>
      </x:c>
      <x:c r="B31" s="122" t="str">
        <x:v>US$ / 1,000 delivered min</x:v>
      </x:c>
      <x:c r="C31" s="134" t="n">
        <x:v>1</x:v>
      </x:c>
      <x:c r="D31" s="134" t="n">
        <x:v>1</x:v>
      </x:c>
      <x:c r="E31" s="134" t="n">
        <x:v>1</x:v>
      </x:c>
      <x:c r="F31" s="135" t="str">
        <x:v>SRC-04</x:v>
      </x:c>
      <x:c r="G31" s="136" t="n">
        <x:f>INDEX($C31:$E31,1,MATCH('Summary'!$B$4,$C$5:$E$5,0))</x:f>
        <x:v>1</x:v>
      </x:c>
    </x:row>
    <x:row r="32">
      <x:c r="A32" s="121" t="str">
        <x:v>AUD/USD exchange rate</x:v>
      </x:c>
      <x:c r="B32" s="122" t="str">
        <x:v>US$ per A$1</x:v>
      </x:c>
      <x:c r="C32" s="137" t="n">
        <x:v>0.6991</x:v>
      </x:c>
      <x:c r="D32" s="137" t="n">
        <x:v>0.6991</x:v>
      </x:c>
      <x:c r="E32" s="137" t="n">
        <x:v>0.6991</x:v>
      </x:c>
      <x:c r="F32" s="138" t="str">
        <x:v>SRC-06 | 2026-07-20</x:v>
      </x:c>
      <x:c r="G32" s="139" t="n">
        <x:f>INDEX($C32:$E32,1,MATCH('Summary'!$B$4,$C$5:$E$5,0))</x:f>
        <x:v>0.6991</x:v>
      </x:c>
    </x:row>
    <x:row r="33">
      <x:c r="A33" s="121" t="str">
        <x:v>Payment processing / collection</x:v>
      </x:c>
      <x:c r="B33" s="122" t="str">
        <x:v>% of revenue</x:v>
      </x:c>
      <x:c r="C33" s="126" t="n">
        <x:v>0.005</x:v>
      </x:c>
      <x:c r="D33" s="126" t="n">
        <x:v>0.005</x:v>
      </x:c>
      <x:c r="E33" s="126" t="n">
        <x:v>0.005</x:v>
      </x:c>
      <x:c r="F33" s="127" t="str">
        <x:v>Planning assumption</x:v>
      </x:c>
      <x:c r="G33" s="128" t="n">
        <x:f>INDEX($C33:$E33,1,MATCH('Summary'!$B$4,$C$5:$E$5,0))</x:f>
        <x:v>0.005</x:v>
      </x:c>
    </x:row>
    <x:row r="34" ht="24" customHeight="1">
      <x:c r="A34" s="132" t="str">
        <x:v>CONTENT &amp; RIGHTS — QUOTES REQUIRED</x:v>
      </x:c>
      <x:c r="B34" s="133" t="str">
        <x:v>CONTENT &amp; RIGHTS — QUOTES REQUIRED</x:v>
      </x:c>
      <x:c r="C34" s="133" t="str">
        <x:v>CONTENT &amp; RIGHTS — QUOTES REQUIRED</x:v>
      </x:c>
      <x:c r="D34" s="133" t="str">
        <x:v>CONTENT &amp; RIGHTS — QUOTES REQUIRED</x:v>
      </x:c>
      <x:c r="E34" s="133" t="str">
        <x:v>CONTENT &amp; RIGHTS — QUOTES REQUIRED</x:v>
      </x:c>
      <x:c r="F34" s="133" t="str">
        <x:v>CONTENT &amp; RIGHTS — QUOTES REQUIRED</x:v>
      </x:c>
      <x:c r="G34" s="133" t="str">
        <x:v>CONTENT &amp; RIGHTS — QUOTES REQUIRED</x:v>
      </x:c>
    </x:row>
    <x:row r="35">
      <x:c r="A35" s="121" t="str">
        <x:v>Composition / publisher licences</x:v>
      </x:c>
      <x:c r="B35" s="122" t="str">
        <x:v>A$ / month</x:v>
      </x:c>
      <x:c r="C35" s="129" t="n">
        <x:v>2500</x:v>
      </x:c>
      <x:c r="D35" s="129" t="n">
        <x:v>5000</x:v>
      </x:c>
      <x:c r="E35" s="129" t="n">
        <x:v>12000</x:v>
      </x:c>
      <x:c r="F35" s="130" t="str">
        <x:v>QUOTE-01 | SRC-07</x:v>
      </x:c>
      <x:c r="G35" s="131" t="n">
        <x:f>INDEX($C35:$E35,1,MATCH('Summary'!$B$4,$C$5:$E$5,0))</x:f>
        <x:v>5000</x:v>
      </x:c>
    </x:row>
    <x:row r="36">
      <x:c r="A36" s="121" t="str">
        <x:v>Master recording / artist licences</x:v>
      </x:c>
      <x:c r="B36" s="122" t="str">
        <x:v>A$ / month</x:v>
      </x:c>
      <x:c r="C36" s="129" t="n">
        <x:v>7500</x:v>
      </x:c>
      <x:c r="D36" s="129" t="n">
        <x:v>15000</x:v>
      </x:c>
      <x:c r="E36" s="129" t="n">
        <x:v>40000</x:v>
      </x:c>
      <x:c r="F36" s="130" t="str">
        <x:v>QUOTE-01 | SRC-08</x:v>
      </x:c>
      <x:c r="G36" s="131" t="n">
        <x:f>INDEX($C36:$E36,1,MATCH('Summary'!$B$4,$C$5:$E$5,0))</x:f>
        <x:v>15000</x:v>
      </x:c>
    </x:row>
    <x:row r="37">
      <x:c r="A37" s="121" t="str">
        <x:v>Event catalogue partner licences</x:v>
      </x:c>
      <x:c r="B37" s="122" t="str">
        <x:v>A$ / month</x:v>
      </x:c>
      <x:c r="C37" s="129" t="n">
        <x:v>7500</x:v>
      </x:c>
      <x:c r="D37" s="129" t="n">
        <x:v>20000</x:v>
      </x:c>
      <x:c r="E37" s="129" t="n">
        <x:v>60000</x:v>
      </x:c>
      <x:c r="F37" s="130" t="str">
        <x:v>QUOTE-02 | Cercle / Boiler Room / Tomorrowland</x:v>
      </x:c>
      <x:c r="G37" s="131" t="n">
        <x:f>INDEX($C37:$E37,1,MATCH('Summary'!$B$4,$C$5:$E$5,0))</x:f>
        <x:v>20000</x:v>
      </x:c>
    </x:row>
    <x:row r="38">
      <x:c r="A38" s="121" t="str">
        <x:v>Fashion-house content licences</x:v>
      </x:c>
      <x:c r="B38" s="122" t="str">
        <x:v>A$ / month</x:v>
      </x:c>
      <x:c r="C38" s="129" t="n">
        <x:v>2500</x:v>
      </x:c>
      <x:c r="D38" s="129" t="n">
        <x:v>10000</x:v>
      </x:c>
      <x:c r="E38" s="129" t="n">
        <x:v>30000</x:v>
      </x:c>
      <x:c r="F38" s="130" t="str">
        <x:v>QUOTE-03</x:v>
      </x:c>
      <x:c r="G38" s="131" t="n">
        <x:f>INDEX($C38:$E38,1,MATCH('Summary'!$B$4,$C$5:$E$5,0))</x:f>
        <x:v>10000</x:v>
      </x:c>
    </x:row>
    <x:row r="39" ht="24" customHeight="1">
      <x:c r="A39" s="132" t="str">
        <x:v>PEOPLE &amp; CLINICAL COVERAGE</x:v>
      </x:c>
      <x:c r="B39" s="133" t="str">
        <x:v>PEOPLE &amp; CLINICAL COVERAGE</x:v>
      </x:c>
      <x:c r="C39" s="133" t="str">
        <x:v>PEOPLE &amp; CLINICAL COVERAGE</x:v>
      </x:c>
      <x:c r="D39" s="133" t="str">
        <x:v>PEOPLE &amp; CLINICAL COVERAGE</x:v>
      </x:c>
      <x:c r="E39" s="133" t="str">
        <x:v>PEOPLE &amp; CLINICAL COVERAGE</x:v>
      </x:c>
      <x:c r="F39" s="133" t="str">
        <x:v>PEOPLE &amp; CLINICAL COVERAGE</x:v>
      </x:c>
      <x:c r="G39" s="133" t="str">
        <x:v>PEOPLE &amp; CLINICAL COVERAGE</x:v>
      </x:c>
    </x:row>
    <x:row r="40">
      <x:c r="A40" s="121" t="str">
        <x:v>Employment on-costs</x:v>
      </x:c>
      <x:c r="B40" s="122" t="str">
        <x:v>% of salary</x:v>
      </x:c>
      <x:c r="C40" s="126" t="n">
        <x:v>0.2</x:v>
      </x:c>
      <x:c r="D40" s="126" t="n">
        <x:v>0.2</x:v>
      </x:c>
      <x:c r="E40" s="126" t="n">
        <x:v>0.2</x:v>
      </x:c>
      <x:c r="F40" s="127" t="str">
        <x:v>Planning assumption</x:v>
      </x:c>
      <x:c r="G40" s="128" t="n">
        <x:f>INDEX($C40:$E40,1,MATCH('Summary'!$B$4,$C$5:$E$5,0))</x:f>
        <x:v>0.2</x:v>
      </x:c>
    </x:row>
    <x:row r="41">
      <x:c r="A41" s="121" t="str">
        <x:v>Safeguarding lead</x:v>
      </x:c>
      <x:c r="B41" s="122" t="str">
        <x:v>FTE</x:v>
      </x:c>
      <x:c r="C41" s="123" t="n">
        <x:v>0.5</x:v>
      </x:c>
      <x:c r="D41" s="123" t="n">
        <x:v>1</x:v>
      </x:c>
      <x:c r="E41" s="123" t="n">
        <x:v>2</x:v>
      </x:c>
      <x:c r="F41" s="124" t="str">
        <x:v>Planning assumption</x:v>
      </x:c>
      <x:c r="G41" s="125" t="n">
        <x:f>INDEX($C41:$E41,1,MATCH('Summary'!$B$4,$C$5:$E$5,0))</x:f>
        <x:v>1</x:v>
      </x:c>
    </x:row>
    <x:row r="42">
      <x:c r="A42" s="121" t="str">
        <x:v>Safeguarding lead salary</x:v>
      </x:c>
      <x:c r="B42" s="122" t="str">
        <x:v>A$ / FTE / year</x:v>
      </x:c>
      <x:c r="C42" s="129" t="n">
        <x:v>120000</x:v>
      </x:c>
      <x:c r="D42" s="129" t="n">
        <x:v>120000</x:v>
      </x:c>
      <x:c r="E42" s="129" t="n">
        <x:v>120000</x:v>
      </x:c>
      <x:c r="F42" s="130" t="str">
        <x:v>Planning assumption</x:v>
      </x:c>
      <x:c r="G42" s="131" t="n">
        <x:f>INDEX($C42:$E42,1,MATCH('Summary'!$B$4,$C$5:$E$5,0))</x:f>
        <x:v>120000</x:v>
      </x:c>
    </x:row>
    <x:row r="43">
      <x:c r="A43" s="121" t="str">
        <x:v>Human-in-loop response coverage</x:v>
      </x:c>
      <x:c r="B43" s="122" t="str">
        <x:v>hours / week</x:v>
      </x:c>
      <x:c r="C43" s="123" t="n">
        <x:v>40</x:v>
      </x:c>
      <x:c r="D43" s="123" t="n">
        <x:v>112</x:v>
      </x:c>
      <x:c r="E43" s="123" t="n">
        <x:v>168</x:v>
      </x:c>
      <x:c r="F43" s="124" t="str">
        <x:v>Planning assumption</x:v>
      </x:c>
      <x:c r="G43" s="125" t="n">
        <x:f>INDEX($C43:$E43,1,MATCH('Summary'!$B$4,$C$5:$E$5,0))</x:f>
        <x:v>112</x:v>
      </x:c>
    </x:row>
    <x:row r="44">
      <x:c r="A44" s="121" t="str">
        <x:v>Crisis responder / escalation rate</x:v>
      </x:c>
      <x:c r="B44" s="122" t="str">
        <x:v>A$ / hour</x:v>
      </x:c>
      <x:c r="C44" s="129" t="n">
        <x:v>55</x:v>
      </x:c>
      <x:c r="D44" s="129" t="n">
        <x:v>55</x:v>
      </x:c>
      <x:c r="E44" s="129" t="n">
        <x:v>55</x:v>
      </x:c>
      <x:c r="F44" s="130" t="str">
        <x:v>Planning assumption</x:v>
      </x:c>
      <x:c r="G44" s="131" t="n">
        <x:f>INDEX($C44:$E44,1,MATCH('Summary'!$B$4,$C$5:$E$5,0))</x:f>
        <x:v>55</x:v>
      </x:c>
    </x:row>
    <x:row r="45">
      <x:c r="A45" s="121" t="str">
        <x:v>Clinical governance lead</x:v>
      </x:c>
      <x:c r="B45" s="122" t="str">
        <x:v>FTE</x:v>
      </x:c>
      <x:c r="C45" s="123" t="n">
        <x:v>0.1</x:v>
      </x:c>
      <x:c r="D45" s="123" t="n">
        <x:v>0.2</x:v>
      </x:c>
      <x:c r="E45" s="123" t="n">
        <x:v>0.5</x:v>
      </x:c>
      <x:c r="F45" s="124" t="str">
        <x:v>Planning assumption</x:v>
      </x:c>
      <x:c r="G45" s="125" t="n">
        <x:f>INDEX($C45:$E45,1,MATCH('Summary'!$B$4,$C$5:$E$5,0))</x:f>
        <x:v>0.2</x:v>
      </x:c>
    </x:row>
    <x:row r="46">
      <x:c r="A46" s="121" t="str">
        <x:v>Clinical governance salary</x:v>
      </x:c>
      <x:c r="B46" s="122" t="str">
        <x:v>A$ / FTE / year</x:v>
      </x:c>
      <x:c r="C46" s="129" t="n">
        <x:v>220000</x:v>
      </x:c>
      <x:c r="D46" s="129" t="n">
        <x:v>220000</x:v>
      </x:c>
      <x:c r="E46" s="129" t="n">
        <x:v>220000</x:v>
      </x:c>
      <x:c r="F46" s="130" t="str">
        <x:v>Planning assumption</x:v>
      </x:c>
      <x:c r="G46" s="131" t="n">
        <x:f>INDEX($C46:$E46,1,MATCH('Summary'!$B$4,$C$5:$E$5,0))</x:f>
        <x:v>220000</x:v>
      </x:c>
    </x:row>
    <x:row r="47">
      <x:c r="A47" s="121" t="str">
        <x:v>Guided group EMDR sessions</x:v>
      </x:c>
      <x:c r="B47" s="122" t="str">
        <x:v>sessions / month</x:v>
      </x:c>
      <x:c r="C47" s="123" t="n">
        <x:v>4</x:v>
      </x:c>
      <x:c r="D47" s="123" t="n">
        <x:v>12</x:v>
      </x:c>
      <x:c r="E47" s="123" t="n">
        <x:v>30</x:v>
      </x:c>
      <x:c r="F47" s="124" t="str">
        <x:v>Planning assumption</x:v>
      </x:c>
      <x:c r="G47" s="125" t="n">
        <x:f>INDEX($C47:$E47,1,MATCH('Summary'!$B$4,$C$5:$E$5,0))</x:f>
        <x:v>12</x:v>
      </x:c>
    </x:row>
    <x:row r="48">
      <x:c r="A48" s="121" t="str">
        <x:v>EMDR clinician fee</x:v>
      </x:c>
      <x:c r="B48" s="122" t="str">
        <x:v>A$ / session</x:v>
      </x:c>
      <x:c r="C48" s="129" t="n">
        <x:v>350</x:v>
      </x:c>
      <x:c r="D48" s="129" t="n">
        <x:v>350</x:v>
      </x:c>
      <x:c r="E48" s="129" t="n">
        <x:v>350</x:v>
      </x:c>
      <x:c r="F48" s="130" t="str">
        <x:v>Planning assumption</x:v>
      </x:c>
      <x:c r="G48" s="131" t="n">
        <x:f>INDEX($C48:$E48,1,MATCH('Summary'!$B$4,$C$5:$E$5,0))</x:f>
        <x:v>350</x:v>
      </x:c>
    </x:row>
    <x:row r="49">
      <x:c r="A49" s="121" t="str">
        <x:v>Audio-room moderation</x:v>
      </x:c>
      <x:c r="B49" s="122" t="str">
        <x:v>hours / week</x:v>
      </x:c>
      <x:c r="C49" s="123" t="n">
        <x:v>20</x:v>
      </x:c>
      <x:c r="D49" s="123" t="n">
        <x:v>80</x:v>
      </x:c>
      <x:c r="E49" s="123" t="n">
        <x:v>200</x:v>
      </x:c>
      <x:c r="F49" s="124" t="str">
        <x:v>Planning assumption</x:v>
      </x:c>
      <x:c r="G49" s="125" t="n">
        <x:f>INDEX($C49:$E49,1,MATCH('Summary'!$B$4,$C$5:$E$5,0))</x:f>
        <x:v>80</x:v>
      </x:c>
    </x:row>
    <x:row r="50">
      <x:c r="A50" s="121" t="str">
        <x:v>Moderator rate</x:v>
      </x:c>
      <x:c r="B50" s="122" t="str">
        <x:v>A$ / hour</x:v>
      </x:c>
      <x:c r="C50" s="129" t="n">
        <x:v>40</x:v>
      </x:c>
      <x:c r="D50" s="129" t="n">
        <x:v>40</x:v>
      </x:c>
      <x:c r="E50" s="129" t="n">
        <x:v>40</x:v>
      </x:c>
      <x:c r="F50" s="130" t="str">
        <x:v>Planning assumption</x:v>
      </x:c>
      <x:c r="G50" s="131" t="n">
        <x:f>INDEX($C50:$E50,1,MATCH('Summary'!$B$4,$C$5:$E$5,0))</x:f>
        <x:v>40</x:v>
      </x:c>
    </x:row>
    <x:row r="51">
      <x:c r="A51" s="121" t="str">
        <x:v>Creative mentorship</x:v>
      </x:c>
      <x:c r="B51" s="122" t="str">
        <x:v>hours / week</x:v>
      </x:c>
      <x:c r="C51" s="123" t="n">
        <x:v>12</x:v>
      </x:c>
      <x:c r="D51" s="123" t="n">
        <x:v>40</x:v>
      </x:c>
      <x:c r="E51" s="123" t="n">
        <x:v>100</x:v>
      </x:c>
      <x:c r="F51" s="124" t="str">
        <x:v>USER-A / planning assumption</x:v>
      </x:c>
      <x:c r="G51" s="125" t="n">
        <x:f>INDEX($C51:$E51,1,MATCH('Summary'!$B$4,$C$5:$E$5,0))</x:f>
        <x:v>40</x:v>
      </x:c>
    </x:row>
    <x:row r="52">
      <x:c r="A52" s="121" t="str">
        <x:v>Creative mentor rate</x:v>
      </x:c>
      <x:c r="B52" s="122" t="str">
        <x:v>A$ / hour</x:v>
      </x:c>
      <x:c r="C52" s="129" t="n">
        <x:v>50</x:v>
      </x:c>
      <x:c r="D52" s="129" t="n">
        <x:v>50</x:v>
      </x:c>
      <x:c r="E52" s="129" t="n">
        <x:v>50</x:v>
      </x:c>
      <x:c r="F52" s="130" t="str">
        <x:v>Planning assumption</x:v>
      </x:c>
      <x:c r="G52" s="131" t="n">
        <x:f>INDEX($C52:$E52,1,MATCH('Summary'!$B$4,$C$5:$E$5,0))</x:f>
        <x:v>50</x:v>
      </x:c>
    </x:row>
    <x:row r="53">
      <x:c r="A53" s="121" t="str">
        <x:v>Product engineering &amp; platform ops</x:v>
      </x:c>
      <x:c r="B53" s="122" t="str">
        <x:v>FTE</x:v>
      </x:c>
      <x:c r="C53" s="123" t="n">
        <x:v>0.5</x:v>
      </x:c>
      <x:c r="D53" s="123" t="n">
        <x:v>1.5</x:v>
      </x:c>
      <x:c r="E53" s="123" t="n">
        <x:v>4</x:v>
      </x:c>
      <x:c r="F53" s="124" t="str">
        <x:v>Planning assumption</x:v>
      </x:c>
      <x:c r="G53" s="125" t="n">
        <x:f>INDEX($C53:$E53,1,MATCH('Summary'!$B$4,$C$5:$E$5,0))</x:f>
        <x:v>1.5</x:v>
      </x:c>
    </x:row>
    <x:row r="54">
      <x:c r="A54" s="121" t="str">
        <x:v>Engineering salary</x:v>
      </x:c>
      <x:c r="B54" s="122" t="str">
        <x:v>A$ / FTE / year</x:v>
      </x:c>
      <x:c r="C54" s="129" t="n">
        <x:v>140000</x:v>
      </x:c>
      <x:c r="D54" s="129" t="n">
        <x:v>140000</x:v>
      </x:c>
      <x:c r="E54" s="129" t="n">
        <x:v>140000</x:v>
      </x:c>
      <x:c r="F54" s="130" t="str">
        <x:v>Planning assumption</x:v>
      </x:c>
      <x:c r="G54" s="131" t="n">
        <x:f>INDEX($C54:$E54,1,MATCH('Summary'!$B$4,$C$5:$E$5,0))</x:f>
        <x:v>140000</x:v>
      </x:c>
    </x:row>
    <x:row r="55">
      <x:c r="A55" s="121" t="str">
        <x:v>Content / editorial</x:v>
      </x:c>
      <x:c r="B55" s="122" t="str">
        <x:v>FTE</x:v>
      </x:c>
      <x:c r="C55" s="123" t="n">
        <x:v>0.5</x:v>
      </x:c>
      <x:c r="D55" s="123" t="n">
        <x:v>1</x:v>
      </x:c>
      <x:c r="E55" s="123" t="n">
        <x:v>2</x:v>
      </x:c>
      <x:c r="F55" s="124" t="str">
        <x:v>Planning assumption</x:v>
      </x:c>
      <x:c r="G55" s="125" t="n">
        <x:f>INDEX($C55:$E55,1,MATCH('Summary'!$B$4,$C$5:$E$5,0))</x:f>
        <x:v>1</x:v>
      </x:c>
    </x:row>
    <x:row r="56">
      <x:c r="A56" s="121" t="str">
        <x:v>Content / editorial salary</x:v>
      </x:c>
      <x:c r="B56" s="122" t="str">
        <x:v>A$ / FTE / year</x:v>
      </x:c>
      <x:c r="C56" s="129" t="n">
        <x:v>100000</x:v>
      </x:c>
      <x:c r="D56" s="129" t="n">
        <x:v>100000</x:v>
      </x:c>
      <x:c r="E56" s="129" t="n">
        <x:v>100000</x:v>
      </x:c>
      <x:c r="F56" s="130" t="str">
        <x:v>Planning assumption</x:v>
      </x:c>
      <x:c r="G56" s="131" t="n">
        <x:f>INDEX($C56:$E56,1,MATCH('Summary'!$B$4,$C$5:$E$5,0))</x:f>
        <x:v>100000</x:v>
      </x:c>
    </x:row>
    <x:row r="57">
      <x:c r="A57" s="121" t="str">
        <x:v>Partnerships &amp; grant development</x:v>
      </x:c>
      <x:c r="B57" s="122" t="str">
        <x:v>FTE</x:v>
      </x:c>
      <x:c r="C57" s="123" t="n">
        <x:v>0.25</x:v>
      </x:c>
      <x:c r="D57" s="123" t="n">
        <x:v>1</x:v>
      </x:c>
      <x:c r="E57" s="123" t="n">
        <x:v>2</x:v>
      </x:c>
      <x:c r="F57" s="124" t="str">
        <x:v>Planning assumption</x:v>
      </x:c>
      <x:c r="G57" s="125" t="n">
        <x:f>INDEX($C57:$E57,1,MATCH('Summary'!$B$4,$C$5:$E$5,0))</x:f>
        <x:v>1</x:v>
      </x:c>
    </x:row>
    <x:row r="58">
      <x:c r="A58" s="121" t="str">
        <x:v>Partnerships salary</x:v>
      </x:c>
      <x:c r="B58" s="122" t="str">
        <x:v>A$ / FTE / year</x:v>
      </x:c>
      <x:c r="C58" s="129" t="n">
        <x:v>130000</x:v>
      </x:c>
      <x:c r="D58" s="129" t="n">
        <x:v>130000</x:v>
      </x:c>
      <x:c r="E58" s="129" t="n">
        <x:v>130000</x:v>
      </x:c>
      <x:c r="F58" s="130" t="str">
        <x:v>Planning assumption</x:v>
      </x:c>
      <x:c r="G58" s="131" t="n">
        <x:f>INDEX($C58:$E58,1,MATCH('Summary'!$B$4,$C$5:$E$5,0))</x:f>
        <x:v>130000</x:v>
      </x:c>
    </x:row>
    <x:row r="59">
      <x:c r="A59" s="121" t="str">
        <x:v>Community support</x:v>
      </x:c>
      <x:c r="B59" s="122" t="str">
        <x:v>FTE</x:v>
      </x:c>
      <x:c r="C59" s="123" t="n">
        <x:v>0.25</x:v>
      </x:c>
      <x:c r="D59" s="123" t="n">
        <x:v>1</x:v>
      </x:c>
      <x:c r="E59" s="123" t="n">
        <x:v>3</x:v>
      </x:c>
      <x:c r="F59" s="124" t="str">
        <x:v>Planning assumption</x:v>
      </x:c>
      <x:c r="G59" s="125" t="n">
        <x:f>INDEX($C59:$E59,1,MATCH('Summary'!$B$4,$C$5:$E$5,0))</x:f>
        <x:v>1</x:v>
      </x:c>
    </x:row>
    <x:row r="60">
      <x:c r="A60" s="121" t="str">
        <x:v>Community support salary</x:v>
      </x:c>
      <x:c r="B60" s="122" t="str">
        <x:v>A$ / FTE / year</x:v>
      </x:c>
      <x:c r="C60" s="129" t="n">
        <x:v>85000</x:v>
      </x:c>
      <x:c r="D60" s="129" t="n">
        <x:v>85000</x:v>
      </x:c>
      <x:c r="E60" s="129" t="n">
        <x:v>85000</x:v>
      </x:c>
      <x:c r="F60" s="130" t="str">
        <x:v>Planning assumption</x:v>
      </x:c>
      <x:c r="G60" s="131" t="n">
        <x:f>INDEX($C60:$E60,1,MATCH('Summary'!$B$4,$C$5:$E$5,0))</x:f>
        <x:v>85000</x:v>
      </x:c>
    </x:row>
    <x:row r="61" ht="24" customHeight="1">
      <x:c r="A61" s="132" t="str">
        <x:v>HOSTING &amp; OVERHEAD</x:v>
      </x:c>
      <x:c r="B61" s="133" t="str">
        <x:v>HOSTING &amp; OVERHEAD</x:v>
      </x:c>
      <x:c r="C61" s="133" t="str">
        <x:v>HOSTING &amp; OVERHEAD</x:v>
      </x:c>
      <x:c r="D61" s="133" t="str">
        <x:v>HOSTING &amp; OVERHEAD</x:v>
      </x:c>
      <x:c r="E61" s="133" t="str">
        <x:v>HOSTING &amp; OVERHEAD</x:v>
      </x:c>
      <x:c r="F61" s="133" t="str">
        <x:v>HOSTING &amp; OVERHEAD</x:v>
      </x:c>
      <x:c r="G61" s="133" t="str">
        <x:v>HOSTING &amp; OVERHEAD</x:v>
      </x:c>
    </x:row>
    <x:row r="62">
      <x:c r="A62" s="121" t="str">
        <x:v>Panthur hosting</x:v>
      </x:c>
      <x:c r="B62" s="122" t="str">
        <x:v>A$ / month</x:v>
      </x:c>
      <x:c r="C62" s="129" t="n">
        <x:v>62.32</x:v>
      </x:c>
      <x:c r="D62" s="129" t="n">
        <x:v>124.63</x:v>
      </x:c>
      <x:c r="E62" s="129" t="n">
        <x:v>186.95</x:v>
      </x:c>
      <x:c r="F62" s="130" t="str">
        <x:v>SRC-05 | Stealth plans</x:v>
      </x:c>
      <x:c r="G62" s="131" t="n">
        <x:f>INDEX($C62:$E62,1,MATCH('Summary'!$B$4,$C$5:$E$5,0))</x:f>
        <x:v>124.63</x:v>
      </x:c>
    </x:row>
    <x:row r="63">
      <x:c r="A63" s="121" t="str">
        <x:v>Legal, privacy &amp; compliance</x:v>
      </x:c>
      <x:c r="B63" s="122" t="str">
        <x:v>A$ / month</x:v>
      </x:c>
      <x:c r="C63" s="129" t="n">
        <x:v>2500</x:v>
      </x:c>
      <x:c r="D63" s="129" t="n">
        <x:v>8000</x:v>
      </x:c>
      <x:c r="E63" s="129" t="n">
        <x:v>20000</x:v>
      </x:c>
      <x:c r="F63" s="130" t="str">
        <x:v>Planning assumption</x:v>
      </x:c>
      <x:c r="G63" s="131" t="n">
        <x:f>INDEX($C63:$E63,1,MATCH('Summary'!$B$4,$C$5:$E$5,0))</x:f>
        <x:v>8000</x:v>
      </x:c>
    </x:row>
    <x:row r="64">
      <x:c r="A64" s="121" t="str">
        <x:v>Insurance</x:v>
      </x:c>
      <x:c r="B64" s="122" t="str">
        <x:v>A$ / month</x:v>
      </x:c>
      <x:c r="C64" s="129" t="n">
        <x:v>1500</x:v>
      </x:c>
      <x:c r="D64" s="129" t="n">
        <x:v>3000</x:v>
      </x:c>
      <x:c r="E64" s="129" t="n">
        <x:v>8000</x:v>
      </x:c>
      <x:c r="F64" s="130" t="str">
        <x:v>Planning assumption</x:v>
      </x:c>
      <x:c r="G64" s="131" t="n">
        <x:f>INDEX($C64:$E64,1,MATCH('Summary'!$B$4,$C$5:$E$5,0))</x:f>
        <x:v>3000</x:v>
      </x:c>
    </x:row>
    <x:row r="65">
      <x:c r="A65" s="121" t="str">
        <x:v>Accounting &amp; administration</x:v>
      </x:c>
      <x:c r="B65" s="122" t="str">
        <x:v>A$ / month</x:v>
      </x:c>
      <x:c r="C65" s="129" t="n">
        <x:v>1000</x:v>
      </x:c>
      <x:c r="D65" s="129" t="n">
        <x:v>2500</x:v>
      </x:c>
      <x:c r="E65" s="129" t="n">
        <x:v>7000</x:v>
      </x:c>
      <x:c r="F65" s="130" t="str">
        <x:v>Planning assumption</x:v>
      </x:c>
      <x:c r="G65" s="131" t="n">
        <x:f>INDEX($C65:$E65,1,MATCH('Summary'!$B$4,$C$5:$E$5,0))</x:f>
        <x:v>2500</x:v>
      </x:c>
    </x:row>
    <x:row r="66">
      <x:c r="A66" s="121" t="str">
        <x:v>Security &amp; accessibility assurance</x:v>
      </x:c>
      <x:c r="B66" s="122" t="str">
        <x:v>A$ / month</x:v>
      </x:c>
      <x:c r="C66" s="129" t="n">
        <x:v>1500</x:v>
      </x:c>
      <x:c r="D66" s="129" t="n">
        <x:v>4000</x:v>
      </x:c>
      <x:c r="E66" s="129" t="n">
        <x:v>10000</x:v>
      </x:c>
      <x:c r="F66" s="130" t="str">
        <x:v>Planning assumption</x:v>
      </x:c>
      <x:c r="G66" s="131" t="n">
        <x:f>INDEX($C66:$E66,1,MATCH('Summary'!$B$4,$C$5:$E$5,0))</x:f>
        <x:v>4000</x:v>
      </x:c>
    </x:row>
    <x:row r="67">
      <x:c r="A67" s="121" t="str">
        <x:v>Marketing, grants &amp; tenders</x:v>
      </x:c>
      <x:c r="B67" s="122" t="str">
        <x:v>A$ / month</x:v>
      </x:c>
      <x:c r="C67" s="129" t="n">
        <x:v>2000</x:v>
      </x:c>
      <x:c r="D67" s="129" t="n">
        <x:v>8000</x:v>
      </x:c>
      <x:c r="E67" s="129" t="n">
        <x:v>25000</x:v>
      </x:c>
      <x:c r="F67" s="130" t="str">
        <x:v>Planning assumption</x:v>
      </x:c>
      <x:c r="G67" s="131" t="n">
        <x:f>INDEX($C67:$E67,1,MATCH('Summary'!$B$4,$C$5:$E$5,0))</x:f>
        <x:v>8000</x:v>
      </x:c>
    </x:row>
    <x:row r="68">
      <x:c r="A68" s="121" t="str">
        <x:v>Software, monitoring &amp; support tools</x:v>
      </x:c>
      <x:c r="B68" s="122" t="str">
        <x:v>A$ / month</x:v>
      </x:c>
      <x:c r="C68" s="129" t="n">
        <x:v>1000</x:v>
      </x:c>
      <x:c r="D68" s="129" t="n">
        <x:v>3000</x:v>
      </x:c>
      <x:c r="E68" s="129" t="n">
        <x:v>8000</x:v>
      </x:c>
      <x:c r="F68" s="130" t="str">
        <x:v>Planning assumption</x:v>
      </x:c>
      <x:c r="G68" s="131" t="n">
        <x:f>INDEX($C68:$E68,1,MATCH('Summary'!$B$4,$C$5:$E$5,0))</x:f>
        <x:v>3000</x:v>
      </x:c>
    </x:row>
    <x:row r="69">
      <x:c r="A69" s="121" t="str">
        <x:v>Other operating costs</x:v>
      </x:c>
      <x:c r="B69" s="122" t="str">
        <x:v>A$ / month</x:v>
      </x:c>
      <x:c r="C69" s="129" t="n">
        <x:v>1000</x:v>
      </x:c>
      <x:c r="D69" s="129" t="n">
        <x:v>3000</x:v>
      </x:c>
      <x:c r="E69" s="129" t="n">
        <x:v>8000</x:v>
      </x:c>
      <x:c r="F69" s="130" t="str">
        <x:v>Planning assumption</x:v>
      </x:c>
      <x:c r="G69" s="131" t="n">
        <x:f>INDEX($C69:$E69,1,MATCH('Summary'!$B$4,$C$5:$E$5,0))</x:f>
        <x:v>3000</x:v>
      </x:c>
    </x:row>
    <x:row r="70">
      <x:c r="A70" s="121" t="str">
        <x:v>Operating contingency</x:v>
      </x:c>
      <x:c r="B70" s="122" t="str">
        <x:v>% of pre-contingency opex</x:v>
      </x:c>
      <x:c r="C70" s="126" t="n">
        <x:v>0.1</x:v>
      </x:c>
      <x:c r="D70" s="126" t="n">
        <x:v>0.1</x:v>
      </x:c>
      <x:c r="E70" s="126" t="n">
        <x:v>0.1</x:v>
      </x:c>
      <x:c r="F70" s="127" t="str">
        <x:v>Planning assumption</x:v>
      </x:c>
      <x:c r="G70" s="128" t="n">
        <x:f>INDEX($C70:$E70,1,MATCH('Summary'!$B$4,$C$5:$E$5,0))</x:f>
        <x:v>0.1</x:v>
      </x:c>
    </x:row>
    <x:row r="71">
      <x:c r="A71" s="121"/>
      <x:c r="B71" s="122"/>
      <x:c r="C71" s="122"/>
      <x:c r="D71" s="122"/>
      <x:c r="E71" s="122"/>
      <x:c r="F71" s="122"/>
      <x:c r="G71" s="122"/>
    </x:row>
    <x:row r="72" ht="24" customHeight="1">
      <x:c r="A72" s="132" t="str">
        <x:v>CREATIVE CONTRIBUTORS &amp; INDUSTRY GUESTS</x:v>
      </x:c>
      <x:c r="B72" s="133" t="str">
        <x:v>CREATIVE CONTRIBUTORS &amp; INDUSTRY GUESTS</x:v>
      </x:c>
      <x:c r="C72" s="133" t="str">
        <x:v>CREATIVE CONTRIBUTORS &amp; INDUSTRY GUESTS</x:v>
      </x:c>
      <x:c r="D72" s="133" t="str">
        <x:v>CREATIVE CONTRIBUTORS &amp; INDUSTRY GUESTS</x:v>
      </x:c>
      <x:c r="E72" s="133" t="str">
        <x:v>CREATIVE CONTRIBUTORS &amp; INDUSTRY GUESTS</x:v>
      </x:c>
      <x:c r="F72" s="133" t="str">
        <x:v>CREATIVE CONTRIBUTORS &amp; INDUSTRY GUESTS</x:v>
      </x:c>
      <x:c r="G72" s="133" t="str">
        <x:v>CREATIVE CONTRIBUTORS &amp; INDUSTRY GUESTS</x:v>
      </x:c>
    </x:row>
    <x:row r="73">
      <x:c r="A73" s="121" t="str">
        <x:v>Animated GIF creator royalty pool</x:v>
      </x:c>
      <x:c r="B73" s="122" t="str">
        <x:v>A$ / month</x:v>
      </x:c>
      <x:c r="C73" s="129" t="n">
        <x:v>500</x:v>
      </x:c>
      <x:c r="D73" s="129" t="n">
        <x:v>2000</x:v>
      </x:c>
      <x:c r="E73" s="129" t="n">
        <x:v>5000</x:v>
      </x:c>
      <x:c r="F73" s="130" t="str">
        <x:v>USER-B / planning assumption</x:v>
      </x:c>
      <x:c r="G73" s="131" t="n">
        <x:f>INDEX($C73:$E73,1,MATCH('Summary'!$B$4,$C$5:$E$5,0))</x:f>
        <x:v>2000</x:v>
      </x:c>
    </x:row>
    <x:row r="74">
      <x:c r="A74" s="121" t="str">
        <x:v>Industry guest mentor rooms</x:v>
      </x:c>
      <x:c r="B74" s="122" t="str">
        <x:v>rooms / month</x:v>
      </x:c>
      <x:c r="C74" s="123" t="n">
        <x:v>2</x:v>
      </x:c>
      <x:c r="D74" s="123" t="n">
        <x:v>4</x:v>
      </x:c>
      <x:c r="E74" s="123" t="n">
        <x:v>8</x:v>
      </x:c>
      <x:c r="F74" s="124" t="str">
        <x:v>USER-B / planning assumption</x:v>
      </x:c>
      <x:c r="G74" s="125" t="n">
        <x:f>INDEX($C74:$E74,1,MATCH('Summary'!$B$4,$C$5:$E$5,0))</x:f>
        <x:v>4</x:v>
      </x:c>
    </x:row>
    <x:row r="75">
      <x:c r="A75" s="140" t="str">
        <x:v>Industry guest honorarium / gift</x:v>
      </x:c>
      <x:c r="B75" s="141" t="str">
        <x:v>A$ / room</x:v>
      </x:c>
      <x:c r="C75" s="142" t="n">
        <x:v>400</x:v>
      </x:c>
      <x:c r="D75" s="142" t="n">
        <x:v>400</x:v>
      </x:c>
      <x:c r="E75" s="142" t="n">
        <x:v>400</x:v>
      </x:c>
      <x:c r="F75" s="143" t="str">
        <x:v>USER-B | all-in fee or accommodation equivalent</x:v>
      </x:c>
      <x:c r="G75" s="144" t="n">
        <x:f>INDEX($C75:$E75,1,MATCH('Summary'!$B$4,$C$5:$E$5,0))</x:f>
        <x:v>400</x:v>
      </x:c>
    </x:row>
    <x:row r="76">
      <x:c r="A76" s="69"/>
      <x:c r="B76" s="69"/>
      <x:c r="C76" s="69"/>
      <x:c r="D76" s="69"/>
      <x:c r="E76" s="69"/>
      <x:c r="F76" s="69"/>
      <x:c r="G76" s="69"/>
    </x:row>
  </x:sheetData>
  <x:mergeCells>
    <x:mergeCell ref="A1:G2"/>
    <x:mergeCell ref="A3:G3"/>
    <x:mergeCell ref="A14:G14"/>
    <x:mergeCell ref="A34:G34"/>
    <x:mergeCell ref="A39:G39"/>
    <x:mergeCell ref="A61:G61"/>
    <x:mergeCell ref="A72:G7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2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52" hidden="0" customWidth="1"/>
  </x:cols>
  <x:sheetData>
    <x:row r="1">
      <x:c r="A1" s="146" t="str">
        <x:v>Research Roadmap — biometric pilots and staged buccal RNA/mRNA studies</x:v>
      </x:c>
      <x:c r="B1" s="146" t="str">
        <x:v>Research Roadmap — biometric pilots and staged buccal RNA/mRNA studies</x:v>
      </x:c>
      <x:c r="C1" s="146" t="str">
        <x:v>Research Roadmap — biometric pilots and staged buccal RNA/mRNA studies</x:v>
      </x:c>
      <x:c r="D1" s="146" t="str">
        <x:v>Research Roadmap — biometric pilots and staged buccal RNA/mRNA studies</x:v>
      </x:c>
      <x:c r="E1" s="146" t="str">
        <x:v>Research Roadmap — biometric pilots and staged buccal RNA/mRNA studies</x:v>
      </x:c>
      <x:c r="F1" s="146" t="str">
        <x:v>Research Roadmap — biometric pilots and staged buccal RNA/mRNA studies</x:v>
      </x:c>
      <x:c r="G1" s="146" t="str">
        <x:v>Research Roadmap — biometric pilots and staged buccal RNA/mRNA studies</x:v>
      </x:c>
      <x:c r="H1" s="146" t="str">
        <x:v>Research Roadmap — biometric pilots and staged buccal RNA/mRNA studies</x:v>
      </x:c>
      <x:c r="I1" s="146" t="str">
        <x:v>Research Roadmap — biometric pilots and staged buccal RNA/mRNA studies</x:v>
      </x:c>
      <x:c r="J1" s="146" t="str">
        <x:v>Research Roadmap — biometric pilots and staged buccal RNA/mRNA studies</x:v>
      </x:c>
      <x:c r="K1" s="146" t="str">
        <x:v>Research Roadmap — biometric pilots and staged buccal RNA/mRNA studies</x:v>
      </x:c>
      <x:c r="L1" s="146" t="str">
        <x:v>Research Roadmap — biometric pilots and staged buccal RNA/mRNA studies</x:v>
      </x:c>
      <x:c r="M1" s="146" t="str">
        <x:v>Research Roadmap — biometric pilots and staged buccal RNA/mRNA studies</x:v>
      </x:c>
      <x:c r="N1" s="146" t="str">
        <x:v>Research Roadmap — biometric pilots and staged buccal RNA/mRNA studies</x:v>
      </x:c>
      <x:c r="O1" s="146" t="str">
        <x:v>Research Roadmap — biometric pilots and staged buccal RNA/mRNA studies</x:v>
      </x:c>
    </x:row>
    <x:row r="2">
      <x:c r="A2" s="146" t="str">
        <x:v>Research Roadmap — biometric pilots and staged buccal RNA/mRNA studies</x:v>
      </x:c>
      <x:c r="B2" s="146" t="str">
        <x:v>Research Roadmap — biometric pilots and staged buccal RNA/mRNA studies</x:v>
      </x:c>
      <x:c r="C2" s="146" t="str">
        <x:v>Research Roadmap — biometric pilots and staged buccal RNA/mRNA studies</x:v>
      </x:c>
      <x:c r="D2" s="146" t="str">
        <x:v>Research Roadmap — biometric pilots and staged buccal RNA/mRNA studies</x:v>
      </x:c>
      <x:c r="E2" s="146" t="str">
        <x:v>Research Roadmap — biometric pilots and staged buccal RNA/mRNA studies</x:v>
      </x:c>
      <x:c r="F2" s="146" t="str">
        <x:v>Research Roadmap — biometric pilots and staged buccal RNA/mRNA studies</x:v>
      </x:c>
      <x:c r="G2" s="146" t="str">
        <x:v>Research Roadmap — biometric pilots and staged buccal RNA/mRNA studies</x:v>
      </x:c>
      <x:c r="H2" s="146" t="str">
        <x:v>Research Roadmap — biometric pilots and staged buccal RNA/mRNA studies</x:v>
      </x:c>
      <x:c r="I2" s="146" t="str">
        <x:v>Research Roadmap — biometric pilots and staged buccal RNA/mRNA studies</x:v>
      </x:c>
      <x:c r="J2" s="146" t="str">
        <x:v>Research Roadmap — biometric pilots and staged buccal RNA/mRNA studies</x:v>
      </x:c>
      <x:c r="K2" s="146" t="str">
        <x:v>Research Roadmap — biometric pilots and staged buccal RNA/mRNA studies</x:v>
      </x:c>
      <x:c r="L2" s="146" t="str">
        <x:v>Research Roadmap — biometric pilots and staged buccal RNA/mRNA studies</x:v>
      </x:c>
      <x:c r="M2" s="146" t="str">
        <x:v>Research Roadmap — biometric pilots and staged buccal RNA/mRNA studies</x:v>
      </x:c>
      <x:c r="N2" s="146" t="str">
        <x:v>Research Roadmap — biometric pilots and staged buccal RNA/mRNA studies</x:v>
      </x:c>
      <x:c r="O2" s="146" t="str">
        <x:v>Research Roadmap — biometric pilots and staged buccal RNA/mRNA studies</x:v>
      </x:c>
    </x:row>
    <x:row r="3">
      <x:c r="A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B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C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D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E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F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G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H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I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J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K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L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M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N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O3"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row>
    <x:row r="4">
      <x:c r="A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B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C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D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E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F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G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H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I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J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K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L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M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N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c r="O4" s="149" t="str">
        <x:v>Yellow cells are editable. Phase totals are timed into the Monthly P&amp;L in the month shown. Wearables support heart-rate capture; actual blood-pressure readings should use a validated third-party cuff. Human research, sensitive health/genomic data, consent, privacy and specimen handling require appropriate HREC/institutional governance.</x:v>
      </x:c>
    </x:row>
    <x:row r="5">
      <x:c r="A5" s="69"/>
      <x:c r="B5" s="69"/>
      <x:c r="C5" s="69"/>
      <x:c r="D5" s="69"/>
      <x:c r="E5" s="69"/>
      <x:c r="F5" s="69"/>
      <x:c r="G5" s="69"/>
      <x:c r="H5" s="69"/>
      <x:c r="I5" s="69"/>
      <x:c r="J5" s="69"/>
      <x:c r="K5" s="69"/>
      <x:c r="L5" s="69"/>
      <x:c r="M5" s="69"/>
      <x:c r="N5" s="69"/>
      <x:c r="O5" s="69"/>
    </x:row>
    <x:row r="6">
      <x:c r="A6" s="69"/>
      <x:c r="B6" s="69"/>
      <x:c r="C6" s="69"/>
      <x:c r="D6" s="69"/>
      <x:c r="E6" s="69"/>
      <x:c r="F6" s="69"/>
      <x:c r="G6" s="69"/>
      <x:c r="H6" s="69"/>
      <x:c r="I6" s="69"/>
      <x:c r="J6" s="69"/>
      <x:c r="K6" s="69"/>
      <x:c r="L6" s="69"/>
      <x:c r="M6" s="69"/>
      <x:c r="N6" s="69"/>
      <x:c r="O6" s="69"/>
    </x:row>
    <x:row r="7" ht="42" customHeight="1">
      <x:c r="A7" s="95" t="str">
        <x:v>Phase</x:v>
      </x:c>
      <x:c r="B7" s="96" t="str">
        <x:v>Start month</x:v>
      </x:c>
      <x:c r="C7" s="96" t="str">
        <x:v>Study type</x:v>
      </x:c>
      <x:c r="D7" s="96" t="str">
        <x:v>Participants</x:v>
      </x:c>
      <x:c r="E7" s="96" t="str">
        <x:v>Gift / person</x:v>
      </x:c>
      <x:c r="F7" s="96" t="str">
        <x:v>Assay + analysis / person</x:v>
      </x:c>
      <x:c r="G7" s="96" t="str">
        <x:v>Wearable / BP equipment</x:v>
      </x:c>
      <x:c r="H7" s="96" t="str">
        <x:v>Ethics / HREC</x:v>
      </x:c>
      <x:c r="I7" s="96" t="str">
        <x:v>Specialist study PM</x:v>
      </x:c>
      <x:c r="J7" s="96" t="str">
        <x:v>Stats / data management</x:v>
      </x:c>
      <x:c r="K7" s="96" t="str">
        <x:v>Other logistics</x:v>
      </x:c>
      <x:c r="L7" s="96" t="str">
        <x:v>Direct subtotal</x:v>
      </x:c>
      <x:c r="M7" s="96" t="str">
        <x:v>Contingency</x:v>
      </x:c>
      <x:c r="N7" s="96" t="str">
        <x:v>Phase total</x:v>
      </x:c>
      <x:c r="O7" s="96" t="str">
        <x:v>Notes</x:v>
      </x:c>
    </x:row>
    <x:row r="8" ht="42" customHeight="1">
      <x:c r="A8" s="121" t="str">
        <x:v>Biometric pilot — 1 person</x:v>
      </x:c>
      <x:c r="B8" s="161" t="n">
        <x:v>46266</x:v>
      </x:c>
      <x:c r="C8" s="162" t="str">
        <x:v>Heart rate + cuff BP</x:v>
      </x:c>
      <x:c r="D8" s="163" t="n">
        <x:v>1</x:v>
      </x:c>
      <x:c r="E8" s="129" t="n">
        <x:v>100</x:v>
      </x:c>
      <x:c r="F8" s="129" t="n">
        <x:v>0</x:v>
      </x:c>
      <x:c r="G8" s="129" t="n">
        <x:v>300</x:v>
      </x:c>
      <x:c r="H8" s="129" t="n">
        <x:v>3000</x:v>
      </x:c>
      <x:c r="I8" s="129" t="n">
        <x:v>2000</x:v>
      </x:c>
      <x:c r="J8" s="129" t="n">
        <x:v>500</x:v>
      </x:c>
      <x:c r="K8" s="129" t="n">
        <x:v>200</x:v>
      </x:c>
      <x:c r="L8" s="130" t="n">
        <x:f>D8*(E8+F8)+SUM(G8:K8)</x:f>
        <x:v>6100</x:v>
      </x:c>
      <x:c r="M8" s="126" t="n">
        <x:v>0.1</x:v>
      </x:c>
      <x:c r="N8" s="130" t="n">
        <x:f>L8*(1+M8)</x:f>
        <x:v>6710.000000000001</x:v>
      </x:c>
      <x:c r="O8" s="122" t="str">
        <x:v>BYO wearable; standardised upper-arm cuff budgeted.</x:v>
      </x:c>
    </x:row>
    <x:row r="9" ht="42" customHeight="1">
      <x:c r="A9" s="121" t="str">
        <x:v>Biometric pilot — 5 people</x:v>
      </x:c>
      <x:c r="B9" s="161" t="n">
        <x:v>46327</x:v>
      </x:c>
      <x:c r="C9" s="162" t="str">
        <x:v>Heart rate + cuff BP</x:v>
      </x:c>
      <x:c r="D9" s="163" t="n">
        <x:v>5</x:v>
      </x:c>
      <x:c r="E9" s="129" t="n">
        <x:v>100</x:v>
      </x:c>
      <x:c r="F9" s="129" t="n">
        <x:v>0</x:v>
      </x:c>
      <x:c r="G9" s="129" t="n">
        <x:v>500</x:v>
      </x:c>
      <x:c r="H9" s="129" t="n">
        <x:v>1000</x:v>
      </x:c>
      <x:c r="I9" s="129" t="n">
        <x:v>2000</x:v>
      </x:c>
      <x:c r="J9" s="129" t="n">
        <x:v>1000</x:v>
      </x:c>
      <x:c r="K9" s="129" t="n">
        <x:v>500</x:v>
      </x:c>
      <x:c r="L9" s="130" t="n">
        <x:f>D9*(E9+F9)+SUM(G9:K9)</x:f>
        <x:v>5500</x:v>
      </x:c>
      <x:c r="M9" s="126" t="n">
        <x:v>0.1</x:v>
      </x:c>
      <x:c r="N9" s="130" t="n">
        <x:f>L9*(1+M9)</x:f>
        <x:v>6050.000000000001</x:v>
      </x:c>
      <x:c r="O9" s="122" t="str">
        <x:v>Repeatability and participant-flow round.</x:v>
      </x:c>
    </x:row>
    <x:row r="10" ht="42" customHeight="1">
      <x:c r="A10" s="121" t="str">
        <x:v>Biometric pilot — 10 people</x:v>
      </x:c>
      <x:c r="B10" s="161" t="n">
        <x:v>46419</x:v>
      </x:c>
      <x:c r="C10" s="162" t="str">
        <x:v>Heart rate + cuff BP</x:v>
      </x:c>
      <x:c r="D10" s="163" t="n">
        <x:v>10</x:v>
      </x:c>
      <x:c r="E10" s="129" t="n">
        <x:v>100</x:v>
      </x:c>
      <x:c r="F10" s="129" t="n">
        <x:v>0</x:v>
      </x:c>
      <x:c r="G10" s="129" t="n">
        <x:v>1000</x:v>
      </x:c>
      <x:c r="H10" s="129" t="n">
        <x:v>1500</x:v>
      </x:c>
      <x:c r="I10" s="129" t="n">
        <x:v>2500</x:v>
      </x:c>
      <x:c r="J10" s="129" t="n">
        <x:v>2000</x:v>
      </x:c>
      <x:c r="K10" s="129" t="n">
        <x:v>1000</x:v>
      </x:c>
      <x:c r="L10" s="130" t="n">
        <x:f>D10*(E10+F10)+SUM(G10:K10)</x:f>
        <x:v>9000</x:v>
      </x:c>
      <x:c r="M10" s="126" t="n">
        <x:v>0.1</x:v>
      </x:c>
      <x:c r="N10" s="130" t="n">
        <x:f>L10*(1+M10)</x:f>
        <x:v>9900</x:v>
      </x:c>
      <x:c r="O10" s="122" t="str">
        <x:v>Wearables can support heart rate; BP measurement uses a validated cuff.</x:v>
      </x:c>
    </x:row>
    <x:row r="11" ht="42" customHeight="1">
      <x:c r="A11" s="121" t="str">
        <x:v>Buccal RNA/mRNA pilot — 10 people</x:v>
      </x:c>
      <x:c r="B11" s="161" t="n">
        <x:v>46508</x:v>
      </x:c>
      <x:c r="C11" s="162" t="str">
        <x:v>Pre/post buccal swab</x:v>
      </x:c>
      <x:c r="D11" s="163" t="n">
        <x:v>10</x:v>
      </x:c>
      <x:c r="E11" s="129" t="n">
        <x:v>100</x:v>
      </x:c>
      <x:c r="F11" s="129" t="n">
        <x:v>1000</x:v>
      </x:c>
      <x:c r="G11" s="129" t="n">
        <x:v>0</x:v>
      </x:c>
      <x:c r="H11" s="129" t="n">
        <x:v>4000</x:v>
      </x:c>
      <x:c r="I11" s="129" t="n">
        <x:v>3000</x:v>
      </x:c>
      <x:c r="J11" s="129" t="n">
        <x:v>2500</x:v>
      </x:c>
      <x:c r="K11" s="129" t="n">
        <x:v>1000</x:v>
      </x:c>
      <x:c r="L11" s="130" t="n">
        <x:f>D11*(E11+F11)+SUM(G11:K11)</x:f>
        <x:v>21500</x:v>
      </x:c>
      <x:c r="M11" s="126" t="n">
        <x:v>0.1</x:v>
      </x:c>
      <x:c r="N11" s="130" t="n">
        <x:f>L11*(1+M11)</x:f>
        <x:v>23650.000000000004</x:v>
      </x:c>
      <x:c r="O11" s="122" t="str">
        <x:v>Garvan / Kinghorn intended lab. A$1,000/person for both timepoints is based on the founder's circa-2019 quote; refresh protocol and quote.</x:v>
      </x:c>
    </x:row>
    <x:row r="12" ht="42" customHeight="1">
      <x:c r="A12" s="121" t="str">
        <x:v>Buccal RNA/mRNA study — 50 people</x:v>
      </x:c>
      <x:c r="B12" s="161" t="n">
        <x:v>46753</x:v>
      </x:c>
      <x:c r="C12" s="162" t="str">
        <x:v>Pre/post buccal swab</x:v>
      </x:c>
      <x:c r="D12" s="163" t="n">
        <x:v>50</x:v>
      </x:c>
      <x:c r="E12" s="129" t="n">
        <x:v>100</x:v>
      </x:c>
      <x:c r="F12" s="129" t="n">
        <x:v>1000</x:v>
      </x:c>
      <x:c r="G12" s="129" t="n">
        <x:v>0</x:v>
      </x:c>
      <x:c r="H12" s="129" t="n">
        <x:v>7500</x:v>
      </x:c>
      <x:c r="I12" s="129" t="n">
        <x:v>6000</x:v>
      </x:c>
      <x:c r="J12" s="129" t="n">
        <x:v>6000</x:v>
      </x:c>
      <x:c r="K12" s="129" t="n">
        <x:v>3000</x:v>
      </x:c>
      <x:c r="L12" s="130" t="n">
        <x:f>D12*(E12+F12)+SUM(G12:K12)</x:f>
        <x:v>77500</x:v>
      </x:c>
      <x:c r="M12" s="126" t="n">
        <x:v>0.1</x:v>
      </x:c>
      <x:c r="N12" s="130" t="n">
        <x:f>L12*(1+M12)</x:f>
        <x:v>85250</x:v>
      </x:c>
      <x:c r="O12" s="122" t="str">
        <x:v>Garvan / Kinghorn intended lab. Staged validation study; refresh quote and scope ethics, consent, privacy and sample logistics.</x:v>
      </x:c>
    </x:row>
    <x:row r="13" ht="42" customHeight="1">
      <x:c r="A13" s="121" t="str">
        <x:v>Buccal RNA/mRNA study — 100 people</x:v>
      </x:c>
      <x:c r="B13" s="161" t="n">
        <x:v>47027</x:v>
      </x:c>
      <x:c r="C13" s="162" t="str">
        <x:v>Pre/post buccal swab</x:v>
      </x:c>
      <x:c r="D13" s="163" t="n">
        <x:v>100</x:v>
      </x:c>
      <x:c r="E13" s="129" t="n">
        <x:v>100</x:v>
      </x:c>
      <x:c r="F13" s="129" t="n">
        <x:v>1000</x:v>
      </x:c>
      <x:c r="G13" s="129" t="n">
        <x:v>0</x:v>
      </x:c>
      <x:c r="H13" s="129" t="n">
        <x:v>12000</x:v>
      </x:c>
      <x:c r="I13" s="129" t="n">
        <x:v>12000</x:v>
      </x:c>
      <x:c r="J13" s="129" t="n">
        <x:v>10000</x:v>
      </x:c>
      <x:c r="K13" s="129" t="n">
        <x:v>5000</x:v>
      </x:c>
      <x:c r="L13" s="130" t="n">
        <x:f>D13*(E13+F13)+SUM(G13:K13)</x:f>
        <x:v>149000</x:v>
      </x:c>
      <x:c r="M13" s="126" t="n">
        <x:v>0.1</x:v>
      </x:c>
      <x:c r="N13" s="130" t="n">
        <x:f>L13*(1+M13)</x:f>
        <x:v>163900</x:v>
      </x:c>
      <x:c r="O13" s="122" t="str">
        <x:v>Garvan / Kinghorn intended lab. Confirm current quote, assay design, power calculation and institutional governance before commitment.</x:v>
      </x:c>
    </x:row>
    <x:row r="14">
      <x:c r="A14" s="121"/>
      <x:c r="B14" s="122"/>
      <x:c r="C14" s="122"/>
      <x:c r="D14" s="122"/>
      <x:c r="E14" s="130"/>
      <x:c r="F14" s="130"/>
      <x:c r="G14" s="130"/>
      <x:c r="H14" s="130"/>
      <x:c r="I14" s="130"/>
      <x:c r="J14" s="130"/>
      <x:c r="K14" s="130"/>
      <x:c r="L14" s="130"/>
      <x:c r="M14" s="122"/>
      <x:c r="N14" s="130"/>
      <x:c r="O14" s="122"/>
    </x:row>
    <x:row r="15">
      <x:c r="A15" s="164" t="str">
        <x:v>Total staged research programme</x:v>
      </x:c>
      <x:c r="B15" s="165" t="str">
        <x:v>Total staged research programme</x:v>
      </x:c>
      <x:c r="C15" s="165" t="str">
        <x:v>Total staged research programme</x:v>
      </x:c>
      <x:c r="D15" s="165" t="str">
        <x:v>Total staged research programme</x:v>
      </x:c>
      <x:c r="E15" s="166" t="str">
        <x:v>Total staged research programme</x:v>
      </x:c>
      <x:c r="F15" s="166" t="str">
        <x:v>Total staged research programme</x:v>
      </x:c>
      <x:c r="G15" s="166" t="str">
        <x:v>Total staged research programme</x:v>
      </x:c>
      <x:c r="H15" s="166" t="str">
        <x:v>Total staged research programme</x:v>
      </x:c>
      <x:c r="I15" s="166" t="str">
        <x:v>Total staged research programme</x:v>
      </x:c>
      <x:c r="J15" s="166" t="str">
        <x:v>Total staged research programme</x:v>
      </x:c>
      <x:c r="K15" s="166" t="str">
        <x:v>Total staged research programme</x:v>
      </x:c>
      <x:c r="L15" s="166" t="n">
        <x:f>SUM(L8:L13)</x:f>
        <x:v>268600</x:v>
      </x:c>
      <x:c r="M15" s="165"/>
      <x:c r="N15" s="166" t="n">
        <x:f>SUM(N8:N13)</x:f>
        <x:v>295460</x:v>
      </x:c>
      <x:c r="O15" s="165"/>
    </x:row>
    <x:row r="16">
      <x:c r="A16" s="69"/>
      <x:c r="B16" s="69"/>
      <x:c r="C16" s="69"/>
      <x:c r="D16" s="69"/>
      <x:c r="E16" s="69"/>
      <x:c r="F16" s="69"/>
      <x:c r="G16" s="69"/>
      <x:c r="H16" s="69"/>
      <x:c r="I16" s="69"/>
      <x:c r="J16" s="69"/>
      <x:c r="K16" s="69"/>
      <x:c r="L16" s="69"/>
      <x:c r="M16" s="69"/>
      <x:c r="N16" s="69"/>
      <x:c r="O16" s="69"/>
    </x:row>
    <x:row r="17">
      <x:c r="A17" s="69"/>
      <x:c r="B17" s="69"/>
      <x:c r="C17" s="69"/>
      <x:c r="D17" s="69"/>
      <x:c r="E17" s="69"/>
      <x:c r="F17" s="69"/>
      <x:c r="G17" s="69"/>
      <x:c r="H17" s="69"/>
      <x:c r="I17" s="69"/>
      <x:c r="J17" s="69"/>
      <x:c r="K17" s="69"/>
      <x:c r="L17" s="69"/>
      <x:c r="M17" s="69"/>
      <x:c r="N17" s="69"/>
      <x:c r="O17" s="69"/>
    </x:row>
    <x:row r="18">
      <x:c r="A18" s="69"/>
      <x:c r="B18" s="69"/>
      <x:c r="C18" s="69"/>
      <x:c r="D18" s="69"/>
      <x:c r="E18" s="69"/>
      <x:c r="F18" s="69"/>
      <x:c r="G18" s="69"/>
      <x:c r="H18" s="69"/>
      <x:c r="I18" s="69"/>
      <x:c r="J18" s="69"/>
      <x:c r="K18" s="69"/>
      <x:c r="L18" s="69"/>
      <x:c r="M18" s="69"/>
      <x:c r="N18" s="69"/>
      <x:c r="O18" s="69"/>
    </x:row>
    <x:row r="19">
      <x:c r="A19" s="69"/>
      <x:c r="B19" s="69"/>
      <x:c r="C19" s="69"/>
      <x:c r="D19" s="69"/>
      <x:c r="E19" s="69"/>
      <x:c r="F19" s="69"/>
      <x:c r="G19" s="69"/>
      <x:c r="H19" s="69"/>
      <x:c r="I19" s="69"/>
      <x:c r="J19" s="69"/>
      <x:c r="K19" s="69"/>
      <x:c r="L19" s="69"/>
      <x:c r="M19" s="69"/>
      <x:c r="N19" s="69"/>
      <x:c r="O19" s="69"/>
    </x:row>
    <x:row r="20">
      <x:c r="A20" s="69"/>
      <x:c r="B20" s="69"/>
      <x:c r="C20" s="69"/>
      <x:c r="D20" s="69"/>
      <x:c r="E20" s="69"/>
      <x:c r="F20" s="69"/>
      <x:c r="G20" s="69"/>
      <x:c r="H20" s="69"/>
      <x:c r="I20" s="69"/>
      <x:c r="J20" s="69"/>
      <x:c r="K20" s="69"/>
      <x:c r="L20" s="69"/>
      <x:c r="M20" s="69"/>
      <x:c r="N20" s="69"/>
      <x:c r="O20" s="69"/>
    </x:row>
  </x:sheetData>
  <x:mergeCells>
    <x:mergeCell ref="A1:O2"/>
    <x:mergeCell ref="A3:O4"/>
    <x:mergeCell ref="A15:K1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s>
  <x:sheetData>
    <x:row r="1">
      <x:c r="A1" s="146" t="str">
        <x:v>Monthly P&amp;L — selected scenario from Summary</x:v>
      </x:c>
      <x:c r="B1" s="146" t="str">
        <x:v>Monthly P&amp;L — selected scenario from Summary</x:v>
      </x:c>
      <x:c r="C1" s="146" t="str">
        <x:v>Monthly P&amp;L — selected scenario from Summary</x:v>
      </x:c>
      <x:c r="D1" s="146" t="str">
        <x:v>Monthly P&amp;L — selected scenario from Summary</x:v>
      </x:c>
      <x:c r="E1" s="146" t="str">
        <x:v>Monthly P&amp;L — selected scenario from Summary</x:v>
      </x:c>
      <x:c r="F1" s="146" t="str">
        <x:v>Monthly P&amp;L — selected scenario from Summary</x:v>
      </x:c>
      <x:c r="G1" s="146" t="str">
        <x:v>Monthly P&amp;L — selected scenario from Summary</x:v>
      </x:c>
      <x:c r="H1" s="146" t="str">
        <x:v>Monthly P&amp;L — selected scenario from Summary</x:v>
      </x:c>
      <x:c r="I1" s="146" t="str">
        <x:v>Monthly P&amp;L — selected scenario from Summary</x:v>
      </x:c>
      <x:c r="J1" s="146" t="str">
        <x:v>Monthly P&amp;L — selected scenario from Summary</x:v>
      </x:c>
      <x:c r="K1" s="146" t="str">
        <x:v>Monthly P&amp;L — selected scenario from Summary</x:v>
      </x:c>
      <x:c r="L1" s="146" t="str">
        <x:v>Monthly P&amp;L — selected scenario from Summary</x:v>
      </x:c>
      <x:c r="M1" s="146" t="str">
        <x:v>Monthly P&amp;L — selected scenario from Summary</x:v>
      </x:c>
      <x:c r="N1" s="146" t="str">
        <x:v>Monthly P&amp;L — selected scenario from Summary</x:v>
      </x:c>
      <x:c r="O1" s="146" t="str">
        <x:v>Monthly P&amp;L — selected scenario from Summary</x:v>
      </x:c>
      <x:c r="P1" s="146" t="str">
        <x:v>Monthly P&amp;L — selected scenario from Summary</x:v>
      </x:c>
      <x:c r="Q1" s="146" t="str">
        <x:v>Monthly P&amp;L — selected scenario from Summary</x:v>
      </x:c>
      <x:c r="R1" s="146" t="str">
        <x:v>Monthly P&amp;L — selected scenario from Summary</x:v>
      </x:c>
      <x:c r="S1" s="146" t="str">
        <x:v>Monthly P&amp;L — selected scenario from Summary</x:v>
      </x:c>
      <x:c r="T1" s="146" t="str">
        <x:v>Monthly P&amp;L — selected scenario from Summary</x:v>
      </x:c>
      <x:c r="U1" s="146" t="str">
        <x:v>Monthly P&amp;L — selected scenario from Summary</x:v>
      </x:c>
      <x:c r="V1" s="146" t="str">
        <x:v>Monthly P&amp;L — selected scenario from Summary</x:v>
      </x:c>
      <x:c r="W1" s="146" t="str">
        <x:v>Monthly P&amp;L — selected scenario from Summary</x:v>
      </x:c>
      <x:c r="X1" s="146" t="str">
        <x:v>Monthly P&amp;L — selected scenario from Summary</x:v>
      </x:c>
      <x:c r="Y1" s="146" t="str">
        <x:v>Monthly P&amp;L — selected scenario from Summary</x:v>
      </x:c>
      <x:c r="Z1" s="146" t="str">
        <x:v>Monthly P&amp;L — selected scenario from Summary</x:v>
      </x:c>
      <x:c r="AA1" s="146" t="str">
        <x:v>Monthly P&amp;L — selected scenario from Summary</x:v>
      </x:c>
      <x:c r="AB1" s="146" t="str">
        <x:v>Monthly P&amp;L — selected scenario from Summary</x:v>
      </x:c>
      <x:c r="AC1" s="146" t="str">
        <x:v>Monthly P&amp;L — selected scenario from Summary</x:v>
      </x:c>
      <x:c r="AD1" s="146" t="str">
        <x:v>Monthly P&amp;L — selected scenario from Summary</x:v>
      </x:c>
      <x:c r="AE1" s="146" t="str">
        <x:v>Monthly P&amp;L — selected scenario from Summary</x:v>
      </x:c>
      <x:c r="AF1" s="146" t="str">
        <x:v>Monthly P&amp;L — selected scenario from Summary</x:v>
      </x:c>
      <x:c r="AG1" s="146" t="str">
        <x:v>Monthly P&amp;L — selected scenario from Summary</x:v>
      </x:c>
      <x:c r="AH1" s="146" t="str">
        <x:v>Monthly P&amp;L — selected scenario from Summary</x:v>
      </x:c>
      <x:c r="AI1" s="146" t="str">
        <x:v>Monthly P&amp;L — selected scenario from Summary</x:v>
      </x:c>
      <x:c r="AJ1" s="146" t="str">
        <x:v>Monthly P&amp;L — selected scenario from Summary</x:v>
      </x:c>
      <x:c r="AK1" s="146" t="str">
        <x:v>Monthly P&amp;L — selected scenario from Summary</x:v>
      </x:c>
    </x:row>
    <x:row r="2">
      <x:c r="A2" s="146" t="str">
        <x:v>Monthly P&amp;L — selected scenario from Summary</x:v>
      </x:c>
      <x:c r="B2" s="146" t="str">
        <x:v>Monthly P&amp;L — selected scenario from Summary</x:v>
      </x:c>
      <x:c r="C2" s="146" t="str">
        <x:v>Monthly P&amp;L — selected scenario from Summary</x:v>
      </x:c>
      <x:c r="D2" s="146" t="str">
        <x:v>Monthly P&amp;L — selected scenario from Summary</x:v>
      </x:c>
      <x:c r="E2" s="146" t="str">
        <x:v>Monthly P&amp;L — selected scenario from Summary</x:v>
      </x:c>
      <x:c r="F2" s="146" t="str">
        <x:v>Monthly P&amp;L — selected scenario from Summary</x:v>
      </x:c>
      <x:c r="G2" s="146" t="str">
        <x:v>Monthly P&amp;L — selected scenario from Summary</x:v>
      </x:c>
      <x:c r="H2" s="146" t="str">
        <x:v>Monthly P&amp;L — selected scenario from Summary</x:v>
      </x:c>
      <x:c r="I2" s="146" t="str">
        <x:v>Monthly P&amp;L — selected scenario from Summary</x:v>
      </x:c>
      <x:c r="J2" s="146" t="str">
        <x:v>Monthly P&amp;L — selected scenario from Summary</x:v>
      </x:c>
      <x:c r="K2" s="146" t="str">
        <x:v>Monthly P&amp;L — selected scenario from Summary</x:v>
      </x:c>
      <x:c r="L2" s="146" t="str">
        <x:v>Monthly P&amp;L — selected scenario from Summary</x:v>
      </x:c>
      <x:c r="M2" s="146" t="str">
        <x:v>Monthly P&amp;L — selected scenario from Summary</x:v>
      </x:c>
      <x:c r="N2" s="146" t="str">
        <x:v>Monthly P&amp;L — selected scenario from Summary</x:v>
      </x:c>
      <x:c r="O2" s="146" t="str">
        <x:v>Monthly P&amp;L — selected scenario from Summary</x:v>
      </x:c>
      <x:c r="P2" s="146" t="str">
        <x:v>Monthly P&amp;L — selected scenario from Summary</x:v>
      </x:c>
      <x:c r="Q2" s="146" t="str">
        <x:v>Monthly P&amp;L — selected scenario from Summary</x:v>
      </x:c>
      <x:c r="R2" s="146" t="str">
        <x:v>Monthly P&amp;L — selected scenario from Summary</x:v>
      </x:c>
      <x:c r="S2" s="146" t="str">
        <x:v>Monthly P&amp;L — selected scenario from Summary</x:v>
      </x:c>
      <x:c r="T2" s="146" t="str">
        <x:v>Monthly P&amp;L — selected scenario from Summary</x:v>
      </x:c>
      <x:c r="U2" s="146" t="str">
        <x:v>Monthly P&amp;L — selected scenario from Summary</x:v>
      </x:c>
      <x:c r="V2" s="146" t="str">
        <x:v>Monthly P&amp;L — selected scenario from Summary</x:v>
      </x:c>
      <x:c r="W2" s="146" t="str">
        <x:v>Monthly P&amp;L — selected scenario from Summary</x:v>
      </x:c>
      <x:c r="X2" s="146" t="str">
        <x:v>Monthly P&amp;L — selected scenario from Summary</x:v>
      </x:c>
      <x:c r="Y2" s="146" t="str">
        <x:v>Monthly P&amp;L — selected scenario from Summary</x:v>
      </x:c>
      <x:c r="Z2" s="146" t="str">
        <x:v>Monthly P&amp;L — selected scenario from Summary</x:v>
      </x:c>
      <x:c r="AA2" s="146" t="str">
        <x:v>Monthly P&amp;L — selected scenario from Summary</x:v>
      </x:c>
      <x:c r="AB2" s="146" t="str">
        <x:v>Monthly P&amp;L — selected scenario from Summary</x:v>
      </x:c>
      <x:c r="AC2" s="146" t="str">
        <x:v>Monthly P&amp;L — selected scenario from Summary</x:v>
      </x:c>
      <x:c r="AD2" s="146" t="str">
        <x:v>Monthly P&amp;L — selected scenario from Summary</x:v>
      </x:c>
      <x:c r="AE2" s="146" t="str">
        <x:v>Monthly P&amp;L — selected scenario from Summary</x:v>
      </x:c>
      <x:c r="AF2" s="146" t="str">
        <x:v>Monthly P&amp;L — selected scenario from Summary</x:v>
      </x:c>
      <x:c r="AG2" s="146" t="str">
        <x:v>Monthly P&amp;L — selected scenario from Summary</x:v>
      </x:c>
      <x:c r="AH2" s="146" t="str">
        <x:v>Monthly P&amp;L — selected scenario from Summary</x:v>
      </x:c>
      <x:c r="AI2" s="146" t="str">
        <x:v>Monthly P&amp;L — selected scenario from Summary</x:v>
      </x:c>
      <x:c r="AJ2" s="146" t="str">
        <x:v>Monthly P&amp;L — selected scenario from Summary</x:v>
      </x:c>
      <x:c r="AK2" s="146" t="str">
        <x:v>Monthly P&amp;L — selected scenario from Summary</x:v>
      </x:c>
    </x:row>
    <x:row r="3">
      <x:c r="A3" s="69"/>
      <x:c r="B3" s="69"/>
      <x:c r="C3" s="69"/>
      <x:c r="D3" s="69"/>
      <x:c r="E3" s="69"/>
      <x:c r="F3" s="69"/>
      <x:c r="G3" s="69"/>
      <x:c r="H3" s="69"/>
      <x:c r="I3" s="69"/>
      <x:c r="J3" s="69"/>
      <x:c r="K3" s="69"/>
      <x:c r="L3" s="69"/>
      <x:c r="M3" s="69"/>
      <x:c r="N3" s="69"/>
      <x:c r="O3" s="69"/>
      <x:c r="P3" s="69"/>
      <x:c r="Q3" s="69"/>
      <x:c r="R3" s="69"/>
      <x:c r="S3" s="69"/>
      <x:c r="T3" s="69"/>
      <x:c r="U3" s="69"/>
      <x:c r="V3" s="69"/>
      <x:c r="W3" s="69"/>
      <x:c r="X3" s="69"/>
      <x:c r="Y3" s="69"/>
      <x:c r="Z3" s="69"/>
      <x:c r="AA3" s="69"/>
      <x:c r="AB3" s="69"/>
      <x:c r="AC3" s="69"/>
      <x:c r="AD3" s="69"/>
      <x:c r="AE3" s="69"/>
      <x:c r="AF3" s="69"/>
      <x:c r="AG3" s="69"/>
      <x:c r="AH3" s="69"/>
      <x:c r="AI3" s="69"/>
      <x:c r="AJ3" s="69"/>
      <x:c r="AK3" s="69"/>
    </x:row>
    <x:row r="4">
      <x:c r="A4" s="69" t="str">
        <x:v>Period</x:v>
      </x:c>
      <x:c r="B4" s="169" t="n">
        <x:v>46235</x:v>
      </x:c>
      <x:c r="C4" s="169" t="n">
        <x:v>46266</x:v>
      </x:c>
      <x:c r="D4" s="169" t="n">
        <x:v>46296</x:v>
      </x:c>
      <x:c r="E4" s="169" t="n">
        <x:v>46327</x:v>
      </x:c>
      <x:c r="F4" s="169" t="n">
        <x:v>46357</x:v>
      </x:c>
      <x:c r="G4" s="169" t="n">
        <x:v>46388</x:v>
      </x:c>
      <x:c r="H4" s="169" t="n">
        <x:v>46419</x:v>
      </x:c>
      <x:c r="I4" s="169" t="n">
        <x:v>46447</x:v>
      </x:c>
      <x:c r="J4" s="169" t="n">
        <x:v>46478</x:v>
      </x:c>
      <x:c r="K4" s="169" t="n">
        <x:v>46508</x:v>
      </x:c>
      <x:c r="L4" s="169" t="n">
        <x:v>46539</x:v>
      </x:c>
      <x:c r="M4" s="169" t="n">
        <x:v>46569</x:v>
      </x:c>
      <x:c r="N4" s="169" t="n">
        <x:v>46600</x:v>
      </x:c>
      <x:c r="O4" s="169" t="n">
        <x:v>46631</x:v>
      </x:c>
      <x:c r="P4" s="169" t="n">
        <x:v>46661</x:v>
      </x:c>
      <x:c r="Q4" s="169" t="n">
        <x:v>46692</x:v>
      </x:c>
      <x:c r="R4" s="169" t="n">
        <x:v>46722</x:v>
      </x:c>
      <x:c r="S4" s="169" t="n">
        <x:v>46753</x:v>
      </x:c>
      <x:c r="T4" s="169" t="n">
        <x:v>46784</x:v>
      </x:c>
      <x:c r="U4" s="169" t="n">
        <x:v>46813</x:v>
      </x:c>
      <x:c r="V4" s="169" t="n">
        <x:v>46844</x:v>
      </x:c>
      <x:c r="W4" s="169" t="n">
        <x:v>46874</x:v>
      </x:c>
      <x:c r="X4" s="169" t="n">
        <x:v>46905</x:v>
      </x:c>
      <x:c r="Y4" s="169" t="n">
        <x:v>46935</x:v>
      </x:c>
      <x:c r="Z4" s="169" t="n">
        <x:v>46966</x:v>
      </x:c>
      <x:c r="AA4" s="169" t="n">
        <x:v>46997</x:v>
      </x:c>
      <x:c r="AB4" s="169" t="n">
        <x:v>47027</x:v>
      </x:c>
      <x:c r="AC4" s="169" t="n">
        <x:v>47058</x:v>
      </x:c>
      <x:c r="AD4" s="169" t="n">
        <x:v>47088</x:v>
      </x:c>
      <x:c r="AE4" s="169" t="n">
        <x:v>47119</x:v>
      </x:c>
      <x:c r="AF4" s="169" t="n">
        <x:v>47150</x:v>
      </x:c>
      <x:c r="AG4" s="169" t="n">
        <x:v>47178</x:v>
      </x:c>
      <x:c r="AH4" s="169" t="n">
        <x:v>47209</x:v>
      </x:c>
      <x:c r="AI4" s="169" t="n">
        <x:v>47239</x:v>
      </x:c>
      <x:c r="AJ4" s="169" t="n">
        <x:v>47270</x:v>
      </x:c>
      <x:c r="AK4" s="169" t="n">
        <x:v>47300</x:v>
      </x:c>
    </x:row>
    <x:row r="5">
      <x:c r="A5" s="69" t="str">
        <x:v>Active government-funded seats</x:v>
      </x:c>
      <x:c r="B5" s="170" t="n">
        <x:f>'Assumptions'!$G$6</x:f>
        <x:v>1000</x:v>
      </x:c>
      <x:c r="C5" s="170" t="n">
        <x:f>B5*(1+'Assumptions'!$G$7)</x:f>
        <x:v>1050</x:v>
      </x:c>
      <x:c r="D5" s="170" t="n">
        <x:f>C5*(1+'Assumptions'!$G$7)</x:f>
        <x:v>1102.5</x:v>
      </x:c>
      <x:c r="E5" s="170" t="n">
        <x:f>D5*(1+'Assumptions'!$G$7)</x:f>
        <x:v>1157.625</x:v>
      </x:c>
      <x:c r="F5" s="170" t="n">
        <x:f>E5*(1+'Assumptions'!$G$7)</x:f>
        <x:v>1215.5062500000001</x:v>
      </x:c>
      <x:c r="G5" s="170" t="n">
        <x:f>F5*(1+'Assumptions'!$G$7)</x:f>
        <x:v>1276.2815625000003</x:v>
      </x:c>
      <x:c r="H5" s="170" t="n">
        <x:f>G5*(1+'Assumptions'!$G$7)</x:f>
        <x:v>1340.0956406250004</x:v>
      </x:c>
      <x:c r="I5" s="170" t="n">
        <x:f>H5*(1+'Assumptions'!$G$7)</x:f>
        <x:v>1407.1004226562504</x:v>
      </x:c>
      <x:c r="J5" s="170" t="n">
        <x:f>I5*(1+'Assumptions'!$G$7)</x:f>
        <x:v>1477.455443789063</x:v>
      </x:c>
      <x:c r="K5" s="170" t="n">
        <x:f>J5*(1+'Assumptions'!$G$7)</x:f>
        <x:v>1551.3282159785163</x:v>
      </x:c>
      <x:c r="L5" s="170" t="n">
        <x:f>K5*(1+'Assumptions'!$G$7)</x:f>
        <x:v>1628.8946267774422</x:v>
      </x:c>
      <x:c r="M5" s="170" t="n">
        <x:f>L5*(1+'Assumptions'!$G$7)</x:f>
        <x:v>1710.3393581163143</x:v>
      </x:c>
      <x:c r="N5" s="170" t="n">
        <x:f>M5*(1+'Assumptions'!$G$7)</x:f>
        <x:v>1795.8563260221301</x:v>
      </x:c>
      <x:c r="O5" s="170" t="n">
        <x:f>N5*(1+'Assumptions'!$G$7)</x:f>
        <x:v>1885.6491423232367</x:v>
      </x:c>
      <x:c r="P5" s="170" t="n">
        <x:f>O5*(1+'Assumptions'!$G$7)</x:f>
        <x:v>1979.9315994393985</x:v>
      </x:c>
      <x:c r="Q5" s="170" t="n">
        <x:f>P5*(1+'Assumptions'!$G$7)</x:f>
        <x:v>2078.9281794113685</x:v>
      </x:c>
      <x:c r="R5" s="170" t="n">
        <x:f>Q5*(1+'Assumptions'!$G$7)</x:f>
        <x:v>2182.874588381937</x:v>
      </x:c>
      <x:c r="S5" s="170" t="n">
        <x:f>R5*(1+'Assumptions'!$G$7)</x:f>
        <x:v>2292.018317801034</x:v>
      </x:c>
      <x:c r="T5" s="170" t="n">
        <x:f>S5*(1+'Assumptions'!$G$7)</x:f>
        <x:v>2406.619233691086</x:v>
      </x:c>
      <x:c r="U5" s="170" t="n">
        <x:f>T5*(1+'Assumptions'!$G$7)</x:f>
        <x:v>2526.9501953756403</x:v>
      </x:c>
      <x:c r="V5" s="170" t="n">
        <x:f>U5*(1+'Assumptions'!$G$7)</x:f>
        <x:v>2653.2977051444223</x:v>
      </x:c>
      <x:c r="W5" s="170" t="n">
        <x:f>V5*(1+'Assumptions'!$G$7)</x:f>
        <x:v>2785.9625904016434</x:v>
      </x:c>
      <x:c r="X5" s="170" t="n">
        <x:f>W5*(1+'Assumptions'!$G$7)</x:f>
        <x:v>2925.260719921726</x:v>
      </x:c>
      <x:c r="Y5" s="170" t="n">
        <x:f>X5*(1+'Assumptions'!$G$7)</x:f>
        <x:v>3071.523755917812</x:v>
      </x:c>
      <x:c r="Z5" s="170" t="n">
        <x:f>Y5*(1+'Assumptions'!$G$7)</x:f>
        <x:v>3225.099943713703</x:v>
      </x:c>
      <x:c r="AA5" s="170" t="n">
        <x:f>Z5*(1+'Assumptions'!$G$7)</x:f>
        <x:v>3386.354940899388</x:v>
      </x:c>
      <x:c r="AB5" s="170" t="n">
        <x:f>AA5*(1+'Assumptions'!$G$7)</x:f>
        <x:v>3555.6726879443577</x:v>
      </x:c>
      <x:c r="AC5" s="170" t="n">
        <x:f>AB5*(1+'Assumptions'!$G$7)</x:f>
        <x:v>3733.4563223415757</x:v>
      </x:c>
      <x:c r="AD5" s="170" t="n">
        <x:f>AC5*(1+'Assumptions'!$G$7)</x:f>
        <x:v>3920.129138458655</x:v>
      </x:c>
      <x:c r="AE5" s="170" t="n">
        <x:f>AD5*(1+'Assumptions'!$G$7)</x:f>
        <x:v>4116.135595381587</x:v>
      </x:c>
      <x:c r="AF5" s="170" t="n">
        <x:f>AE5*(1+'Assumptions'!$G$7)</x:f>
        <x:v>4321.9423751506665</x:v>
      </x:c>
      <x:c r="AG5" s="170" t="n">
        <x:f>AF5*(1+'Assumptions'!$G$7)</x:f>
        <x:v>4538.0394939082</x:v>
      </x:c>
      <x:c r="AH5" s="170" t="n">
        <x:f>AG5*(1+'Assumptions'!$G$7)</x:f>
        <x:v>4764.94146860361</x:v>
      </x:c>
      <x:c r="AI5" s="170" t="n">
        <x:f>AH5*(1+'Assumptions'!$G$7)</x:f>
        <x:v>5003.18854203379</x:v>
      </x:c>
      <x:c r="AJ5" s="170" t="n">
        <x:f>AI5*(1+'Assumptions'!$G$7)</x:f>
        <x:v>5253.34796913548</x:v>
      </x:c>
      <x:c r="AK5" s="170" t="n">
        <x:f>AJ5*(1+'Assumptions'!$G$7)</x:f>
        <x:v>5516.015367592254</x:v>
      </x:c>
    </x:row>
    <x:row r="6">
      <x:c r="A6" s="69"/>
      <x:c r="B6" s="69"/>
      <x:c r="C6" s="69"/>
      <x:c r="D6" s="69"/>
      <x:c r="E6" s="69"/>
      <x:c r="F6" s="69"/>
      <x:c r="G6" s="69"/>
      <x:c r="H6" s="69"/>
      <x:c r="I6" s="69"/>
      <x:c r="J6" s="69"/>
      <x:c r="K6" s="69"/>
      <x:c r="L6" s="69"/>
      <x:c r="M6" s="69"/>
      <x:c r="N6" s="69"/>
      <x:c r="O6" s="69"/>
      <x:c r="P6" s="69"/>
      <x:c r="Q6" s="69"/>
      <x:c r="R6" s="69"/>
      <x:c r="S6" s="69"/>
      <x:c r="T6" s="69"/>
      <x:c r="U6" s="69"/>
      <x:c r="V6" s="69"/>
      <x:c r="W6" s="69"/>
      <x:c r="X6" s="69"/>
      <x:c r="Y6" s="69"/>
      <x:c r="Z6" s="69"/>
      <x:c r="AA6" s="69"/>
      <x:c r="AB6" s="69"/>
      <x:c r="AC6" s="69"/>
      <x:c r="AD6" s="69"/>
      <x:c r="AE6" s="69"/>
      <x:c r="AF6" s="69"/>
      <x:c r="AG6" s="69"/>
      <x:c r="AH6" s="69"/>
      <x:c r="AI6" s="69"/>
      <x:c r="AJ6" s="69"/>
      <x:c r="AK6" s="69"/>
    </x:row>
    <x:row r="7" ht="24" customHeight="1">
      <x:c r="A7" s="76" t="str">
        <x:v>REVENUE</x:v>
      </x:c>
      <x:c r="B7" s="76" t="str">
        <x:v>REVENUE</x:v>
      </x:c>
      <x:c r="C7" s="76" t="str">
        <x:v>REVENUE</x:v>
      </x:c>
      <x:c r="D7" s="76" t="str">
        <x:v>REVENUE</x:v>
      </x:c>
      <x:c r="E7" s="76" t="str">
        <x:v>REVENUE</x:v>
      </x:c>
      <x:c r="F7" s="76" t="str">
        <x:v>REVENUE</x:v>
      </x:c>
      <x:c r="G7" s="76" t="str">
        <x:v>REVENUE</x:v>
      </x:c>
      <x:c r="H7" s="76" t="str">
        <x:v>REVENUE</x:v>
      </x:c>
      <x:c r="I7" s="76" t="str">
        <x:v>REVENUE</x:v>
      </x:c>
      <x:c r="J7" s="76" t="str">
        <x:v>REVENUE</x:v>
      </x:c>
      <x:c r="K7" s="76" t="str">
        <x:v>REVENUE</x:v>
      </x:c>
      <x:c r="L7" s="76" t="str">
        <x:v>REVENUE</x:v>
      </x:c>
      <x:c r="M7" s="76" t="str">
        <x:v>REVENUE</x:v>
      </x:c>
      <x:c r="N7" s="76" t="str">
        <x:v>REVENUE</x:v>
      </x:c>
      <x:c r="O7" s="76" t="str">
        <x:v>REVENUE</x:v>
      </x:c>
      <x:c r="P7" s="76" t="str">
        <x:v>REVENUE</x:v>
      </x:c>
      <x:c r="Q7" s="76" t="str">
        <x:v>REVENUE</x:v>
      </x:c>
      <x:c r="R7" s="76" t="str">
        <x:v>REVENUE</x:v>
      </x:c>
      <x:c r="S7" s="76" t="str">
        <x:v>REVENUE</x:v>
      </x:c>
      <x:c r="T7" s="76" t="str">
        <x:v>REVENUE</x:v>
      </x:c>
      <x:c r="U7" s="76" t="str">
        <x:v>REVENUE</x:v>
      </x:c>
      <x:c r="V7" s="76" t="str">
        <x:v>REVENUE</x:v>
      </x:c>
      <x:c r="W7" s="76" t="str">
        <x:v>REVENUE</x:v>
      </x:c>
      <x:c r="X7" s="76" t="str">
        <x:v>REVENUE</x:v>
      </x:c>
      <x:c r="Y7" s="76" t="str">
        <x:v>REVENUE</x:v>
      </x:c>
      <x:c r="Z7" s="76" t="str">
        <x:v>REVENUE</x:v>
      </x:c>
      <x:c r="AA7" s="76" t="str">
        <x:v>REVENUE</x:v>
      </x:c>
      <x:c r="AB7" s="76" t="str">
        <x:v>REVENUE</x:v>
      </x:c>
      <x:c r="AC7" s="76" t="str">
        <x:v>REVENUE</x:v>
      </x:c>
      <x:c r="AD7" s="76" t="str">
        <x:v>REVENUE</x:v>
      </x:c>
      <x:c r="AE7" s="76" t="str">
        <x:v>REVENUE</x:v>
      </x:c>
      <x:c r="AF7" s="76" t="str">
        <x:v>REVENUE</x:v>
      </x:c>
      <x:c r="AG7" s="76" t="str">
        <x:v>REVENUE</x:v>
      </x:c>
      <x:c r="AH7" s="76" t="str">
        <x:v>REVENUE</x:v>
      </x:c>
      <x:c r="AI7" s="76" t="str">
        <x:v>REVENUE</x:v>
      </x:c>
      <x:c r="AJ7" s="76" t="str">
        <x:v>REVENUE</x:v>
      </x:c>
      <x:c r="AK7" s="76" t="str">
        <x:v>REVENUE</x:v>
      </x:c>
    </x:row>
    <x:row r="8">
      <x:c r="A8" s="185" t="str">
        <x:v>Government per-seat subscriptions</x:v>
      </x:c>
      <x:c r="B8" s="173" t="n">
        <x:f>B5*'Assumptions'!$G$8</x:f>
        <x:v>30000</x:v>
      </x:c>
      <x:c r="C8" s="173" t="n">
        <x:f>C5*'Assumptions'!$G$8</x:f>
        <x:v>31500</x:v>
      </x:c>
      <x:c r="D8" s="173" t="n">
        <x:f>D5*'Assumptions'!$G$8</x:f>
        <x:v>33075</x:v>
      </x:c>
      <x:c r="E8" s="173" t="n">
        <x:f>E5*'Assumptions'!$G$8</x:f>
        <x:v>34728.75</x:v>
      </x:c>
      <x:c r="F8" s="173" t="n">
        <x:f>F5*'Assumptions'!$G$8</x:f>
        <x:v>36465.18750000001</x:v>
      </x:c>
      <x:c r="G8" s="173" t="n">
        <x:f>G5*'Assumptions'!$G$8</x:f>
        <x:v>38288.44687500001</x:v>
      </x:c>
      <x:c r="H8" s="173" t="n">
        <x:f>H5*'Assumptions'!$G$8</x:f>
        <x:v>40202.86921875001</x:v>
      </x:c>
      <x:c r="I8" s="173" t="n">
        <x:f>I5*'Assumptions'!$G$8</x:f>
        <x:v>42213.01267968751</x:v>
      </x:c>
      <x:c r="J8" s="173" t="n">
        <x:f>J5*'Assumptions'!$G$8</x:f>
        <x:v>44323.663313671896</x:v>
      </x:c>
      <x:c r="K8" s="173" t="n">
        <x:f>K5*'Assumptions'!$G$8</x:f>
        <x:v>46539.84647935549</x:v>
      </x:c>
      <x:c r="L8" s="173" t="n">
        <x:f>L5*'Assumptions'!$G$8</x:f>
        <x:v>48866.83880332327</x:v>
      </x:c>
      <x:c r="M8" s="173" t="n">
        <x:f>M5*'Assumptions'!$G$8</x:f>
        <x:v>51310.18074348943</x:v>
      </x:c>
      <x:c r="N8" s="173" t="n">
        <x:f>N5*'Assumptions'!$G$8</x:f>
        <x:v>53875.6897806639</x:v>
      </x:c>
      <x:c r="O8" s="173" t="n">
        <x:f>O5*'Assumptions'!$G$8</x:f>
        <x:v>56569.4742696971</x:v>
      </x:c>
      <x:c r="P8" s="173" t="n">
        <x:f>P5*'Assumptions'!$G$8</x:f>
        <x:v>59397.947983181955</x:v>
      </x:c>
      <x:c r="Q8" s="173" t="n">
        <x:f>Q5*'Assumptions'!$G$8</x:f>
        <x:v>62367.84538234105</x:v>
      </x:c>
      <x:c r="R8" s="173" t="n">
        <x:f>R5*'Assumptions'!$G$8</x:f>
        <x:v>65486.23765145811</x:v>
      </x:c>
      <x:c r="S8" s="173" t="n">
        <x:f>S5*'Assumptions'!$G$8</x:f>
        <x:v>68760.54953403102</x:v>
      </x:c>
      <x:c r="T8" s="173" t="n">
        <x:f>T5*'Assumptions'!$G$8</x:f>
        <x:v>72198.57701073258</x:v>
      </x:c>
      <x:c r="U8" s="173" t="n">
        <x:f>U5*'Assumptions'!$G$8</x:f>
        <x:v>75808.50586126921</x:v>
      </x:c>
      <x:c r="V8" s="173" t="n">
        <x:f>V5*'Assumptions'!$G$8</x:f>
        <x:v>79598.93115433266</x:v>
      </x:c>
      <x:c r="W8" s="173" t="n">
        <x:f>W5*'Assumptions'!$G$8</x:f>
        <x:v>83578.8777120493</x:v>
      </x:c>
      <x:c r="X8" s="173" t="n">
        <x:f>X5*'Assumptions'!$G$8</x:f>
        <x:v>87757.82159765178</x:v>
      </x:c>
      <x:c r="Y8" s="173" t="n">
        <x:f>Y5*'Assumptions'!$G$8</x:f>
        <x:v>92145.71267753436</x:v>
      </x:c>
      <x:c r="Z8" s="173" t="n">
        <x:f>Z5*'Assumptions'!$G$8</x:f>
        <x:v>96752.9983114111</x:v>
      </x:c>
      <x:c r="AA8" s="173" t="n">
        <x:f>AA5*'Assumptions'!$G$8</x:f>
        <x:v>101590.64822698165</x:v>
      </x:c>
      <x:c r="AB8" s="173" t="n">
        <x:f>AB5*'Assumptions'!$G$8</x:f>
        <x:v>106670.18063833073</x:v>
      </x:c>
      <x:c r="AC8" s="173" t="n">
        <x:f>AC5*'Assumptions'!$G$8</x:f>
        <x:v>112003.68967024727</x:v>
      </x:c>
      <x:c r="AD8" s="173" t="n">
        <x:f>AD5*'Assumptions'!$G$8</x:f>
        <x:v>117603.87415375965</x:v>
      </x:c>
      <x:c r="AE8" s="173" t="n">
        <x:f>AE5*'Assumptions'!$G$8</x:f>
        <x:v>123484.06786144762</x:v>
      </x:c>
      <x:c r="AF8" s="173" t="n">
        <x:f>AF5*'Assumptions'!$G$8</x:f>
        <x:v>129658.27125451999</x:v>
      </x:c>
      <x:c r="AG8" s="173" t="n">
        <x:f>AG5*'Assumptions'!$G$8</x:f>
        <x:v>136141.184817246</x:v>
      </x:c>
      <x:c r="AH8" s="173" t="n">
        <x:f>AH5*'Assumptions'!$G$8</x:f>
        <x:v>142948.2440581083</x:v>
      </x:c>
      <x:c r="AI8" s="173" t="n">
        <x:f>AI5*'Assumptions'!$G$8</x:f>
        <x:v>150095.6562610137</x:v>
      </x:c>
      <x:c r="AJ8" s="173" t="n">
        <x:f>AJ5*'Assumptions'!$G$8</x:f>
        <x:v>157600.4390740644</x:v>
      </x:c>
      <x:c r="AK8" s="173" t="n">
        <x:f>AK5*'Assumptions'!$G$8</x:f>
        <x:v>165480.46102776763</x:v>
      </x:c>
    </x:row>
    <x:row r="9">
      <x:c r="A9" s="185" t="str">
        <x:v>Government grants</x:v>
      </x:c>
      <x:c r="B9" s="173" t="n">
        <x:f>'Assumptions'!$G$9/12</x:f>
        <x:v>62500</x:v>
      </x:c>
      <x:c r="C9" s="173" t="n">
        <x:f>'Assumptions'!$G$9/12</x:f>
        <x:v>62500</x:v>
      </x:c>
      <x:c r="D9" s="173" t="n">
        <x:f>'Assumptions'!$G$9/12</x:f>
        <x:v>62500</x:v>
      </x:c>
      <x:c r="E9" s="173" t="n">
        <x:f>'Assumptions'!$G$9/12</x:f>
        <x:v>62500</x:v>
      </x:c>
      <x:c r="F9" s="173" t="n">
        <x:f>'Assumptions'!$G$9/12</x:f>
        <x:v>62500</x:v>
      </x:c>
      <x:c r="G9" s="173" t="n">
        <x:f>'Assumptions'!$G$9/12</x:f>
        <x:v>62500</x:v>
      </x:c>
      <x:c r="H9" s="173" t="n">
        <x:f>'Assumptions'!$G$9/12</x:f>
        <x:v>62500</x:v>
      </x:c>
      <x:c r="I9" s="173" t="n">
        <x:f>'Assumptions'!$G$9/12</x:f>
        <x:v>62500</x:v>
      </x:c>
      <x:c r="J9" s="173" t="n">
        <x:f>'Assumptions'!$G$9/12</x:f>
        <x:v>62500</x:v>
      </x:c>
      <x:c r="K9" s="173" t="n">
        <x:f>'Assumptions'!$G$9/12</x:f>
        <x:v>62500</x:v>
      </x:c>
      <x:c r="L9" s="173" t="n">
        <x:f>'Assumptions'!$G$9/12</x:f>
        <x:v>62500</x:v>
      </x:c>
      <x:c r="M9" s="173" t="n">
        <x:f>'Assumptions'!$G$9/12</x:f>
        <x:v>62500</x:v>
      </x:c>
      <x:c r="N9" s="173" t="n">
        <x:f>'Assumptions'!$G$9/12</x:f>
        <x:v>62500</x:v>
      </x:c>
      <x:c r="O9" s="173" t="n">
        <x:f>'Assumptions'!$G$9/12</x:f>
        <x:v>62500</x:v>
      </x:c>
      <x:c r="P9" s="173" t="n">
        <x:f>'Assumptions'!$G$9/12</x:f>
        <x:v>62500</x:v>
      </x:c>
      <x:c r="Q9" s="173" t="n">
        <x:f>'Assumptions'!$G$9/12</x:f>
        <x:v>62500</x:v>
      </x:c>
      <x:c r="R9" s="173" t="n">
        <x:f>'Assumptions'!$G$9/12</x:f>
        <x:v>62500</x:v>
      </x:c>
      <x:c r="S9" s="173" t="n">
        <x:f>'Assumptions'!$G$9/12</x:f>
        <x:v>62500</x:v>
      </x:c>
      <x:c r="T9" s="173" t="n">
        <x:f>'Assumptions'!$G$9/12</x:f>
        <x:v>62500</x:v>
      </x:c>
      <x:c r="U9" s="173" t="n">
        <x:f>'Assumptions'!$G$9/12</x:f>
        <x:v>62500</x:v>
      </x:c>
      <x:c r="V9" s="173" t="n">
        <x:f>'Assumptions'!$G$9/12</x:f>
        <x:v>62500</x:v>
      </x:c>
      <x:c r="W9" s="173" t="n">
        <x:f>'Assumptions'!$G$9/12</x:f>
        <x:v>62500</x:v>
      </x:c>
      <x:c r="X9" s="173" t="n">
        <x:f>'Assumptions'!$G$9/12</x:f>
        <x:v>62500</x:v>
      </x:c>
      <x:c r="Y9" s="173" t="n">
        <x:f>'Assumptions'!$G$9/12</x:f>
        <x:v>62500</x:v>
      </x:c>
      <x:c r="Z9" s="173" t="n">
        <x:f>'Assumptions'!$G$9/12</x:f>
        <x:v>62500</x:v>
      </x:c>
      <x:c r="AA9" s="173" t="n">
        <x:f>'Assumptions'!$G$9/12</x:f>
        <x:v>62500</x:v>
      </x:c>
      <x:c r="AB9" s="173" t="n">
        <x:f>'Assumptions'!$G$9/12</x:f>
        <x:v>62500</x:v>
      </x:c>
      <x:c r="AC9" s="173" t="n">
        <x:f>'Assumptions'!$G$9/12</x:f>
        <x:v>62500</x:v>
      </x:c>
      <x:c r="AD9" s="173" t="n">
        <x:f>'Assumptions'!$G$9/12</x:f>
        <x:v>62500</x:v>
      </x:c>
      <x:c r="AE9" s="173" t="n">
        <x:f>'Assumptions'!$G$9/12</x:f>
        <x:v>62500</x:v>
      </x:c>
      <x:c r="AF9" s="173" t="n">
        <x:f>'Assumptions'!$G$9/12</x:f>
        <x:v>62500</x:v>
      </x:c>
      <x:c r="AG9" s="173" t="n">
        <x:f>'Assumptions'!$G$9/12</x:f>
        <x:v>62500</x:v>
      </x:c>
      <x:c r="AH9" s="173" t="n">
        <x:f>'Assumptions'!$G$9/12</x:f>
        <x:v>62500</x:v>
      </x:c>
      <x:c r="AI9" s="173" t="n">
        <x:f>'Assumptions'!$G$9/12</x:f>
        <x:v>62500</x:v>
      </x:c>
      <x:c r="AJ9" s="173" t="n">
        <x:f>'Assumptions'!$G$9/12</x:f>
        <x:v>62500</x:v>
      </x:c>
      <x:c r="AK9" s="173" t="n">
        <x:f>'Assumptions'!$G$9/12</x:f>
        <x:v>62500</x:v>
      </x:c>
    </x:row>
    <x:row r="10">
      <x:c r="A10" s="185" t="str">
        <x:v>Native partnership revenue</x:v>
      </x:c>
      <x:c r="B10" s="173" t="n">
        <x:f>'Assumptions'!$G$10*'Assumptions'!$G$11</x:f>
        <x:v>50000</x:v>
      </x:c>
      <x:c r="C10" s="173" t="n">
        <x:f>'Assumptions'!$G$10*'Assumptions'!$G$11</x:f>
        <x:v>50000</x:v>
      </x:c>
      <x:c r="D10" s="173" t="n">
        <x:f>'Assumptions'!$G$10*'Assumptions'!$G$11</x:f>
        <x:v>50000</x:v>
      </x:c>
      <x:c r="E10" s="173" t="n">
        <x:f>'Assumptions'!$G$10*'Assumptions'!$G$11</x:f>
        <x:v>50000</x:v>
      </x:c>
      <x:c r="F10" s="173" t="n">
        <x:f>'Assumptions'!$G$10*'Assumptions'!$G$11</x:f>
        <x:v>50000</x:v>
      </x:c>
      <x:c r="G10" s="173" t="n">
        <x:f>'Assumptions'!$G$10*'Assumptions'!$G$11</x:f>
        <x:v>50000</x:v>
      </x:c>
      <x:c r="H10" s="173" t="n">
        <x:f>'Assumptions'!$G$10*'Assumptions'!$G$11</x:f>
        <x:v>50000</x:v>
      </x:c>
      <x:c r="I10" s="173" t="n">
        <x:f>'Assumptions'!$G$10*'Assumptions'!$G$11</x:f>
        <x:v>50000</x:v>
      </x:c>
      <x:c r="J10" s="173" t="n">
        <x:f>'Assumptions'!$G$10*'Assumptions'!$G$11</x:f>
        <x:v>50000</x:v>
      </x:c>
      <x:c r="K10" s="173" t="n">
        <x:f>'Assumptions'!$G$10*'Assumptions'!$G$11</x:f>
        <x:v>50000</x:v>
      </x:c>
      <x:c r="L10" s="173" t="n">
        <x:f>'Assumptions'!$G$10*'Assumptions'!$G$11</x:f>
        <x:v>50000</x:v>
      </x:c>
      <x:c r="M10" s="173" t="n">
        <x:f>'Assumptions'!$G$10*'Assumptions'!$G$11</x:f>
        <x:v>50000</x:v>
      </x:c>
      <x:c r="N10" s="173" t="n">
        <x:f>'Assumptions'!$G$10*'Assumptions'!$G$11</x:f>
        <x:v>50000</x:v>
      </x:c>
      <x:c r="O10" s="173" t="n">
        <x:f>'Assumptions'!$G$10*'Assumptions'!$G$11</x:f>
        <x:v>50000</x:v>
      </x:c>
      <x:c r="P10" s="173" t="n">
        <x:f>'Assumptions'!$G$10*'Assumptions'!$G$11</x:f>
        <x:v>50000</x:v>
      </x:c>
      <x:c r="Q10" s="173" t="n">
        <x:f>'Assumptions'!$G$10*'Assumptions'!$G$11</x:f>
        <x:v>50000</x:v>
      </x:c>
      <x:c r="R10" s="173" t="n">
        <x:f>'Assumptions'!$G$10*'Assumptions'!$G$11</x:f>
        <x:v>50000</x:v>
      </x:c>
      <x:c r="S10" s="173" t="n">
        <x:f>'Assumptions'!$G$10*'Assumptions'!$G$11</x:f>
        <x:v>50000</x:v>
      </x:c>
      <x:c r="T10" s="173" t="n">
        <x:f>'Assumptions'!$G$10*'Assumptions'!$G$11</x:f>
        <x:v>50000</x:v>
      </x:c>
      <x:c r="U10" s="173" t="n">
        <x:f>'Assumptions'!$G$10*'Assumptions'!$G$11</x:f>
        <x:v>50000</x:v>
      </x:c>
      <x:c r="V10" s="173" t="n">
        <x:f>'Assumptions'!$G$10*'Assumptions'!$G$11</x:f>
        <x:v>50000</x:v>
      </x:c>
      <x:c r="W10" s="173" t="n">
        <x:f>'Assumptions'!$G$10*'Assumptions'!$G$11</x:f>
        <x:v>50000</x:v>
      </x:c>
      <x:c r="X10" s="173" t="n">
        <x:f>'Assumptions'!$G$10*'Assumptions'!$G$11</x:f>
        <x:v>50000</x:v>
      </x:c>
      <x:c r="Y10" s="173" t="n">
        <x:f>'Assumptions'!$G$10*'Assumptions'!$G$11</x:f>
        <x:v>50000</x:v>
      </x:c>
      <x:c r="Z10" s="173" t="n">
        <x:f>'Assumptions'!$G$10*'Assumptions'!$G$11</x:f>
        <x:v>50000</x:v>
      </x:c>
      <x:c r="AA10" s="173" t="n">
        <x:f>'Assumptions'!$G$10*'Assumptions'!$G$11</x:f>
        <x:v>50000</x:v>
      </x:c>
      <x:c r="AB10" s="173" t="n">
        <x:f>'Assumptions'!$G$10*'Assumptions'!$G$11</x:f>
        <x:v>50000</x:v>
      </x:c>
      <x:c r="AC10" s="173" t="n">
        <x:f>'Assumptions'!$G$10*'Assumptions'!$G$11</x:f>
        <x:v>50000</x:v>
      </x:c>
      <x:c r="AD10" s="173" t="n">
        <x:f>'Assumptions'!$G$10*'Assumptions'!$G$11</x:f>
        <x:v>50000</x:v>
      </x:c>
      <x:c r="AE10" s="173" t="n">
        <x:f>'Assumptions'!$G$10*'Assumptions'!$G$11</x:f>
        <x:v>50000</x:v>
      </x:c>
      <x:c r="AF10" s="173" t="n">
        <x:f>'Assumptions'!$G$10*'Assumptions'!$G$11</x:f>
        <x:v>50000</x:v>
      </x:c>
      <x:c r="AG10" s="173" t="n">
        <x:f>'Assumptions'!$G$10*'Assumptions'!$G$11</x:f>
        <x:v>50000</x:v>
      </x:c>
      <x:c r="AH10" s="173" t="n">
        <x:f>'Assumptions'!$G$10*'Assumptions'!$G$11</x:f>
        <x:v>50000</x:v>
      </x:c>
      <x:c r="AI10" s="173" t="n">
        <x:f>'Assumptions'!$G$10*'Assumptions'!$G$11</x:f>
        <x:v>50000</x:v>
      </x:c>
      <x:c r="AJ10" s="173" t="n">
        <x:f>'Assumptions'!$G$10*'Assumptions'!$G$11</x:f>
        <x:v>50000</x:v>
      </x:c>
      <x:c r="AK10" s="173" t="n">
        <x:f>'Assumptions'!$G$10*'Assumptions'!$G$11</x:f>
        <x:v>50000</x:v>
      </x:c>
    </x:row>
    <x:row r="11">
      <x:c r="A11" s="185" t="str">
        <x:v>Affiliate commission revenue</x:v>
      </x:c>
      <x:c r="B11" s="173" t="n">
        <x:f>B5*'Assumptions'!$G$12*'Assumptions'!$G$13</x:f>
        <x:v>1155</x:v>
      </x:c>
      <x:c r="C11" s="173" t="n">
        <x:f>C5*'Assumptions'!$G$12*'Assumptions'!$G$13</x:f>
        <x:v>1212.75</x:v>
      </x:c>
      <x:c r="D11" s="173" t="n">
        <x:f>D5*'Assumptions'!$G$12*'Assumptions'!$G$13</x:f>
        <x:v>1273.3875</x:v>
      </x:c>
      <x:c r="E11" s="173" t="n">
        <x:f>E5*'Assumptions'!$G$12*'Assumptions'!$G$13</x:f>
        <x:v>1337.056875</x:v>
      </x:c>
      <x:c r="F11" s="173" t="n">
        <x:f>F5*'Assumptions'!$G$12*'Assumptions'!$G$13</x:f>
        <x:v>1403.9097187500004</x:v>
      </x:c>
      <x:c r="G11" s="173" t="n">
        <x:f>G5*'Assumptions'!$G$12*'Assumptions'!$G$13</x:f>
        <x:v>1474.1052046875004</x:v>
      </x:c>
      <x:c r="H11" s="173" t="n">
        <x:f>H5*'Assumptions'!$G$12*'Assumptions'!$G$13</x:f>
        <x:v>1547.8104649218756</x:v>
      </x:c>
      <x:c r="I11" s="173" t="n">
        <x:f>I5*'Assumptions'!$G$12*'Assumptions'!$G$13</x:f>
        <x:v>1625.2009881679692</x:v>
      </x:c>
      <x:c r="J11" s="173" t="n">
        <x:f>J5*'Assumptions'!$G$12*'Assumptions'!$G$13</x:f>
        <x:v>1706.461037576368</x:v>
      </x:c>
      <x:c r="K11" s="173" t="n">
        <x:f>K5*'Assumptions'!$G$12*'Assumptions'!$G$13</x:f>
        <x:v>1791.7840894551862</x:v>
      </x:c>
      <x:c r="L11" s="173" t="n">
        <x:f>L5*'Assumptions'!$G$12*'Assumptions'!$G$13</x:f>
        <x:v>1881.373293927946</x:v>
      </x:c>
      <x:c r="M11" s="173" t="n">
        <x:f>M5*'Assumptions'!$G$12*'Assumptions'!$G$13</x:f>
        <x:v>1975.441958624343</x:v>
      </x:c>
      <x:c r="N11" s="173" t="n">
        <x:f>N5*'Assumptions'!$G$12*'Assumptions'!$G$13</x:f>
        <x:v>2074.21405655556</x:v>
      </x:c>
      <x:c r="O11" s="173" t="n">
        <x:f>O5*'Assumptions'!$G$12*'Assumptions'!$G$13</x:f>
        <x:v>2177.9247593833384</x:v>
      </x:c>
      <x:c r="P11" s="173" t="n">
        <x:f>P5*'Assumptions'!$G$12*'Assumptions'!$G$13</x:f>
        <x:v>2286.8209973525054</x:v>
      </x:c>
      <x:c r="Q11" s="173" t="n">
        <x:f>Q5*'Assumptions'!$G$12*'Assumptions'!$G$13</x:f>
        <x:v>2401.1620472201307</x:v>
      </x:c>
      <x:c r="R11" s="173" t="n">
        <x:f>R5*'Assumptions'!$G$12*'Assumptions'!$G$13</x:f>
        <x:v>2521.2201495811373</x:v>
      </x:c>
      <x:c r="S11" s="173" t="n">
        <x:f>S5*'Assumptions'!$G$12*'Assumptions'!$G$13</x:f>
        <x:v>2647.281157060194</x:v>
      </x:c>
      <x:c r="T11" s="173" t="n">
        <x:f>T5*'Assumptions'!$G$12*'Assumptions'!$G$13</x:f>
        <x:v>2779.645214913204</x:v>
      </x:c>
      <x:c r="U11" s="173" t="n">
        <x:f>U5*'Assumptions'!$G$12*'Assumptions'!$G$13</x:f>
        <x:v>2918.6274756588646</x:v>
      </x:c>
      <x:c r="V11" s="173" t="n">
        <x:f>V5*'Assumptions'!$G$12*'Assumptions'!$G$13</x:f>
        <x:v>3064.5588494418075</x:v>
      </x:c>
      <x:c r="W11" s="173" t="n">
        <x:f>W5*'Assumptions'!$G$12*'Assumptions'!$G$13</x:f>
        <x:v>3217.786791913898</x:v>
      </x:c>
      <x:c r="X11" s="173" t="n">
        <x:f>X5*'Assumptions'!$G$12*'Assumptions'!$G$13</x:f>
        <x:v>3378.6761315095937</x:v>
      </x:c>
      <x:c r="Y11" s="173" t="n">
        <x:f>Y5*'Assumptions'!$G$12*'Assumptions'!$G$13</x:f>
        <x:v>3547.609938085073</x:v>
      </x:c>
      <x:c r="Z11" s="173" t="n">
        <x:f>Z5*'Assumptions'!$G$12*'Assumptions'!$G$13</x:f>
        <x:v>3724.9904349893272</x:v>
      </x:c>
      <x:c r="AA11" s="173" t="n">
        <x:f>AA5*'Assumptions'!$G$12*'Assumptions'!$G$13</x:f>
        <x:v>3911.2399567387934</x:v>
      </x:c>
      <x:c r="AB11" s="173" t="n">
        <x:f>AB5*'Assumptions'!$G$12*'Assumptions'!$G$13</x:f>
        <x:v>4106.801954575733</x:v>
      </x:c>
      <x:c r="AC11" s="173" t="n">
        <x:f>AC5*'Assumptions'!$G$12*'Assumptions'!$G$13</x:f>
        <x:v>4312.14205230452</x:v>
      </x:c>
      <x:c r="AD11" s="173" t="n">
        <x:f>AD5*'Assumptions'!$G$12*'Assumptions'!$G$13</x:f>
        <x:v>4527.749154919747</x:v>
      </x:c>
      <x:c r="AE11" s="173" t="n">
        <x:f>AE5*'Assumptions'!$G$12*'Assumptions'!$G$13</x:f>
        <x:v>4754.136612665733</x:v>
      </x:c>
      <x:c r="AF11" s="173" t="n">
        <x:f>AF5*'Assumptions'!$G$12*'Assumptions'!$G$13</x:f>
        <x:v>4991.84344329902</x:v>
      </x:c>
      <x:c r="AG11" s="173" t="n">
        <x:f>AG5*'Assumptions'!$G$12*'Assumptions'!$G$13</x:f>
        <x:v>5241.435615463971</x:v>
      </x:c>
      <x:c r="AH11" s="173" t="n">
        <x:f>AH5*'Assumptions'!$G$12*'Assumptions'!$G$13</x:f>
        <x:v>5503.50739623717</x:v>
      </x:c>
      <x:c r="AI11" s="173" t="n">
        <x:f>AI5*'Assumptions'!$G$12*'Assumptions'!$G$13</x:f>
        <x:v>5778.682766049027</x:v>
      </x:c>
      <x:c r="AJ11" s="173" t="n">
        <x:f>AJ5*'Assumptions'!$G$12*'Assumptions'!$G$13</x:f>
        <x:v>6067.616904351479</x:v>
      </x:c>
      <x:c r="AK11" s="173" t="n">
        <x:f>AK5*'Assumptions'!$G$12*'Assumptions'!$G$13</x:f>
        <x:v>6370.997749569054</x:v>
      </x:c>
    </x:row>
    <x:row r="12">
      <x:c r="A12" s="186" t="str">
        <x:v>Total revenue</x:v>
      </x:c>
      <x:c r="B12" s="179" t="n">
        <x:f>SUM(B8:B11)</x:f>
        <x:v>143655</x:v>
      </x:c>
      <x:c r="C12" s="179" t="n">
        <x:f>SUM(C8:C11)</x:f>
        <x:v>145212.75</x:v>
      </x:c>
      <x:c r="D12" s="179" t="n">
        <x:f>SUM(D8:D11)</x:f>
        <x:v>146848.3875</x:v>
      </x:c>
      <x:c r="E12" s="179" t="n">
        <x:f>SUM(E8:E11)</x:f>
        <x:v>148565.806875</x:v>
      </x:c>
      <x:c r="F12" s="179" t="n">
        <x:f>SUM(F8:F11)</x:f>
        <x:v>150369.09721875</x:v>
      </x:c>
      <x:c r="G12" s="179" t="n">
        <x:f>SUM(G8:G11)</x:f>
        <x:v>152262.55207968754</x:v>
      </x:c>
      <x:c r="H12" s="179" t="n">
        <x:f>SUM(H8:H11)</x:f>
        <x:v>154250.6796836719</x:v>
      </x:c>
      <x:c r="I12" s="179" t="n">
        <x:f>SUM(I8:I11)</x:f>
        <x:v>156338.21366785548</x:v>
      </x:c>
      <x:c r="J12" s="179" t="n">
        <x:f>SUM(J8:J11)</x:f>
        <x:v>158530.12435124826</x:v>
      </x:c>
      <x:c r="K12" s="179" t="n">
        <x:f>SUM(K8:K11)</x:f>
        <x:v>160831.63056881065</x:v>
      </x:c>
      <x:c r="L12" s="179" t="n">
        <x:f>SUM(L8:L11)</x:f>
        <x:v>163248.21209725123</x:v>
      </x:c>
      <x:c r="M12" s="179" t="n">
        <x:f>SUM(M8:M11)</x:f>
        <x:v>165785.62270211376</x:v>
      </x:c>
      <x:c r="N12" s="179" t="n">
        <x:f>SUM(N8:N11)</x:f>
        <x:v>168449.90383721946</x:v>
      </x:c>
      <x:c r="O12" s="179" t="n">
        <x:f>SUM(O8:O11)</x:f>
        <x:v>171247.39902908044</x:v>
      </x:c>
      <x:c r="P12" s="179" t="n">
        <x:f>SUM(P8:P11)</x:f>
        <x:v>174184.76898053446</x:v>
      </x:c>
      <x:c r="Q12" s="179" t="n">
        <x:f>SUM(Q8:Q11)</x:f>
        <x:v>177269.0074295612</x:v>
      </x:c>
      <x:c r="R12" s="179" t="n">
        <x:f>SUM(R8:R11)</x:f>
        <x:v>180507.45780103927</x:v>
      </x:c>
      <x:c r="S12" s="179" t="n">
        <x:f>SUM(S8:S11)</x:f>
        <x:v>183907.83069109122</x:v>
      </x:c>
      <x:c r="T12" s="179" t="n">
        <x:f>SUM(T8:T11)</x:f>
        <x:v>187478.2222256458</x:v>
      </x:c>
      <x:c r="U12" s="179" t="n">
        <x:f>SUM(U8:U11)</x:f>
        <x:v>191227.13333692806</x:v>
      </x:c>
      <x:c r="V12" s="179" t="n">
        <x:f>SUM(V8:V11)</x:f>
        <x:v>195163.49000377447</x:v>
      </x:c>
      <x:c r="W12" s="179" t="n">
        <x:f>SUM(W8:W11)</x:f>
        <x:v>199296.6645039632</x:v>
      </x:c>
      <x:c r="X12" s="179" t="n">
        <x:f>SUM(X8:X11)</x:f>
        <x:v>203636.49772916138</x:v>
      </x:c>
      <x:c r="Y12" s="179" t="n">
        <x:f>SUM(Y8:Y11)</x:f>
        <x:v>208193.32261561946</x:v>
      </x:c>
      <x:c r="Z12" s="179" t="n">
        <x:f>SUM(Z8:Z11)</x:f>
        <x:v>212977.98874640043</x:v>
      </x:c>
      <x:c r="AA12" s="179" t="n">
        <x:f>SUM(AA8:AA11)</x:f>
        <x:v>218001.88818372044</x:v>
      </x:c>
      <x:c r="AB12" s="179" t="n">
        <x:f>SUM(AB8:AB11)</x:f>
        <x:v>223276.98259290645</x:v>
      </x:c>
      <x:c r="AC12" s="179" t="n">
        <x:f>SUM(AC8:AC11)</x:f>
        <x:v>228815.83172255178</x:v>
      </x:c>
      <x:c r="AD12" s="179" t="n">
        <x:f>SUM(AD8:AD11)</x:f>
        <x:v>234631.6233086794</x:v>
      </x:c>
      <x:c r="AE12" s="179" t="n">
        <x:f>SUM(AE8:AE11)</x:f>
        <x:v>240738.20447411336</x:v>
      </x:c>
      <x:c r="AF12" s="179" t="n">
        <x:f>SUM(AF8:AF11)</x:f>
        <x:v>247150.11469781902</x:v>
      </x:c>
      <x:c r="AG12" s="179" t="n">
        <x:f>SUM(AG8:AG11)</x:f>
        <x:v>253882.62043270995</x:v>
      </x:c>
      <x:c r="AH12" s="179" t="n">
        <x:f>SUM(AH8:AH11)</x:f>
        <x:v>260951.75145434547</x:v>
      </x:c>
      <x:c r="AI12" s="179" t="n">
        <x:f>SUM(AI8:AI11)</x:f>
        <x:v>268374.33902706276</x:v>
      </x:c>
      <x:c r="AJ12" s="179" t="n">
        <x:f>SUM(AJ8:AJ11)</x:f>
        <x:v>276168.0559784158</x:v>
      </x:c>
      <x:c r="AK12" s="179" t="n">
        <x:f>SUM(AK8:AK11)</x:f>
        <x:v>284351.4587773367</x:v>
      </x:c>
    </x:row>
    <x:row r="13">
      <x:c r="A13" s="185"/>
      <x:c r="B13" s="173"/>
      <x:c r="C13" s="173"/>
      <x:c r="D13" s="173"/>
      <x:c r="E13" s="173"/>
      <x:c r="F13" s="173"/>
      <x:c r="G13" s="173"/>
      <x:c r="H13" s="173"/>
      <x:c r="I13" s="173"/>
      <x:c r="J13" s="173"/>
      <x:c r="K13" s="173"/>
      <x:c r="L13" s="173"/>
      <x:c r="M13" s="173"/>
      <x:c r="N13" s="173"/>
      <x:c r="O13" s="173"/>
      <x:c r="P13" s="173"/>
      <x:c r="Q13" s="173"/>
      <x:c r="R13" s="173"/>
      <x:c r="S13" s="173"/>
      <x:c r="T13" s="173"/>
      <x:c r="U13" s="173"/>
      <x:c r="V13" s="173"/>
      <x:c r="W13" s="173"/>
      <x:c r="X13" s="173"/>
      <x:c r="Y13" s="173"/>
      <x:c r="Z13" s="173"/>
      <x:c r="AA13" s="173"/>
      <x:c r="AB13" s="173"/>
      <x:c r="AC13" s="173"/>
      <x:c r="AD13" s="173"/>
      <x:c r="AE13" s="173"/>
      <x:c r="AF13" s="173"/>
      <x:c r="AG13" s="173"/>
      <x:c r="AH13" s="173"/>
      <x:c r="AI13" s="173"/>
      <x:c r="AJ13" s="173"/>
      <x:c r="AK13" s="173"/>
    </x:row>
    <x:row r="14" ht="24" customHeight="1">
      <x:c r="A14" s="187" t="str">
        <x:v>COST OF REVENUE</x:v>
      </x:c>
      <x:c r="B14" s="174" t="str">
        <x:v>COST OF REVENUE</x:v>
      </x:c>
      <x:c r="C14" s="174" t="str">
        <x:v>COST OF REVENUE</x:v>
      </x:c>
      <x:c r="D14" s="174" t="str">
        <x:v>COST OF REVENUE</x:v>
      </x:c>
      <x:c r="E14" s="174" t="str">
        <x:v>COST OF REVENUE</x:v>
      </x:c>
      <x:c r="F14" s="174" t="str">
        <x:v>COST OF REVENUE</x:v>
      </x:c>
      <x:c r="G14" s="174" t="str">
        <x:v>COST OF REVENUE</x:v>
      </x:c>
      <x:c r="H14" s="174" t="str">
        <x:v>COST OF REVENUE</x:v>
      </x:c>
      <x:c r="I14" s="174" t="str">
        <x:v>COST OF REVENUE</x:v>
      </x:c>
      <x:c r="J14" s="174" t="str">
        <x:v>COST OF REVENUE</x:v>
      </x:c>
      <x:c r="K14" s="174" t="str">
        <x:v>COST OF REVENUE</x:v>
      </x:c>
      <x:c r="L14" s="174" t="str">
        <x:v>COST OF REVENUE</x:v>
      </x:c>
      <x:c r="M14" s="174" t="str">
        <x:v>COST OF REVENUE</x:v>
      </x:c>
      <x:c r="N14" s="174" t="str">
        <x:v>COST OF REVENUE</x:v>
      </x:c>
      <x:c r="O14" s="174" t="str">
        <x:v>COST OF REVENUE</x:v>
      </x:c>
      <x:c r="P14" s="174" t="str">
        <x:v>COST OF REVENUE</x:v>
      </x:c>
      <x:c r="Q14" s="174" t="str">
        <x:v>COST OF REVENUE</x:v>
      </x:c>
      <x:c r="R14" s="174" t="str">
        <x:v>COST OF REVENUE</x:v>
      </x:c>
      <x:c r="S14" s="174" t="str">
        <x:v>COST OF REVENUE</x:v>
      </x:c>
      <x:c r="T14" s="174" t="str">
        <x:v>COST OF REVENUE</x:v>
      </x:c>
      <x:c r="U14" s="174" t="str">
        <x:v>COST OF REVENUE</x:v>
      </x:c>
      <x:c r="V14" s="174" t="str">
        <x:v>COST OF REVENUE</x:v>
      </x:c>
      <x:c r="W14" s="174" t="str">
        <x:v>COST OF REVENUE</x:v>
      </x:c>
      <x:c r="X14" s="174" t="str">
        <x:v>COST OF REVENUE</x:v>
      </x:c>
      <x:c r="Y14" s="174" t="str">
        <x:v>COST OF REVENUE</x:v>
      </x:c>
      <x:c r="Z14" s="174" t="str">
        <x:v>COST OF REVENUE</x:v>
      </x:c>
      <x:c r="AA14" s="174" t="str">
        <x:v>COST OF REVENUE</x:v>
      </x:c>
      <x:c r="AB14" s="174" t="str">
        <x:v>COST OF REVENUE</x:v>
      </x:c>
      <x:c r="AC14" s="174" t="str">
        <x:v>COST OF REVENUE</x:v>
      </x:c>
      <x:c r="AD14" s="174" t="str">
        <x:v>COST OF REVENUE</x:v>
      </x:c>
      <x:c r="AE14" s="174" t="str">
        <x:v>COST OF REVENUE</x:v>
      </x:c>
      <x:c r="AF14" s="174" t="str">
        <x:v>COST OF REVENUE</x:v>
      </x:c>
      <x:c r="AG14" s="174" t="str">
        <x:v>COST OF REVENUE</x:v>
      </x:c>
      <x:c r="AH14" s="174" t="str">
        <x:v>COST OF REVENUE</x:v>
      </x:c>
      <x:c r="AI14" s="174" t="str">
        <x:v>COST OF REVENUE</x:v>
      </x:c>
      <x:c r="AJ14" s="174" t="str">
        <x:v>COST OF REVENUE</x:v>
      </x:c>
      <x:c r="AK14" s="174" t="str">
        <x:v>COST OF REVENUE</x:v>
      </x:c>
    </x:row>
    <x:row r="15">
      <x:c r="A15" s="185" t="str">
        <x:v>Agora voice rooms</x:v>
      </x:c>
      <x:c r="B15" s="173" t="n">
        <x:f>MAX(0,B5*'Assumptions'!$G$15-'Assumptions'!$G$16)*'Assumptions'!$G$17/1000/'Assumptions'!$G$32</x:f>
        <x:v>49.563724789014444</x:v>
      </x:c>
      <x:c r="C15" s="173" t="n">
        <x:f>MAX(0,C5*'Assumptions'!$G$15-'Assumptions'!$G$16)*'Assumptions'!$G$17/1000/'Assumptions'!$G$32</x:f>
        <x:v>52.7499642397368</x:v>
      </x:c>
      <x:c r="D15" s="173" t="n">
        <x:f>MAX(0,D5*'Assumptions'!$G$15-'Assumptions'!$G$16)*'Assumptions'!$G$17/1000/'Assumptions'!$G$32</x:f>
        <x:v>56.095515662995275</x:v>
      </x:c>
      <x:c r="E15" s="173" t="n">
        <x:f>MAX(0,E5*'Assumptions'!$G$15-'Assumptions'!$G$16)*'Assumptions'!$G$17/1000/'Assumptions'!$G$32</x:f>
        <x:v>59.60834465741667</x:v>
      </x:c>
      <x:c r="F15" s="173" t="n">
        <x:f>MAX(0,F5*'Assumptions'!$G$15-'Assumptions'!$G$16)*'Assumptions'!$G$17/1000/'Assumptions'!$G$32</x:f>
        <x:v>63.29681510155915</x:v>
      </x:c>
      <x:c r="G15" s="173" t="n">
        <x:f>MAX(0,G5*'Assumptions'!$G$15-'Assumptions'!$G$16)*'Assumptions'!$G$17/1000/'Assumptions'!$G$32</x:f>
        <x:v>67.16970906790876</x:v>
      </x:c>
      <x:c r="H15" s="173" t="n">
        <x:f>MAX(0,H5*'Assumptions'!$G$15-'Assumptions'!$G$16)*'Assumptions'!$G$17/1000/'Assumptions'!$G$32</x:f>
        <x:v>71.23624773257583</x:v>
      </x:c>
      <x:c r="I15" s="173" t="n">
        <x:f>MAX(0,I5*'Assumptions'!$G$15-'Assumptions'!$G$16)*'Assumptions'!$G$17/1000/'Assumptions'!$G$32</x:f>
        <x:v>75.50611333047625</x:v>
      </x:c>
      <x:c r="J15" s="173" t="n">
        <x:f>MAX(0,J5*'Assumptions'!$G$15-'Assumptions'!$G$16)*'Assumptions'!$G$17/1000/'Assumptions'!$G$32</x:f>
        <x:v>79.98947220827174</x:v>
      </x:c>
      <x:c r="K15" s="173" t="n">
        <x:f>MAX(0,K5*'Assumptions'!$G$15-'Assumptions'!$G$16)*'Assumptions'!$G$17/1000/'Assumptions'!$G$32</x:f>
        <x:v>84.69699902995693</x:v>
      </x:c>
      <x:c r="L15" s="173" t="n">
        <x:f>MAX(0,L5*'Assumptions'!$G$15-'Assumptions'!$G$16)*'Assumptions'!$G$17/1000/'Assumptions'!$G$32</x:f>
        <x:v>89.63990219272642</x:v>
      </x:c>
      <x:c r="M15" s="173" t="n">
        <x:f>MAX(0,M5*'Assumptions'!$G$15-'Assumptions'!$G$16)*'Assumptions'!$G$17/1000/'Assumptions'!$G$32</x:f>
        <x:v>94.82995051363439</x:v>
      </x:c>
      <x:c r="N15" s="173" t="n">
        <x:f>MAX(0,N5*'Assumptions'!$G$15-'Assumptions'!$G$16)*'Assumptions'!$G$17/1000/'Assumptions'!$G$32</x:f>
        <x:v>100.27950125058774</x:v>
      </x:c>
      <x:c r="O15" s="173" t="n">
        <x:f>MAX(0,O5*'Assumptions'!$G$15-'Assumptions'!$G$16)*'Assumptions'!$G$17/1000/'Assumptions'!$G$32</x:f>
        <x:v>106.00152952438879</x:v>
      </x:c>
      <x:c r="P15" s="173" t="n">
        <x:f>MAX(0,P5*'Assumptions'!$G$15-'Assumptions'!$G$16)*'Assumptions'!$G$17/1000/'Assumptions'!$G$32</x:f>
        <x:v>112.00965921187984</x:v>
      </x:c>
      <x:c r="Q15" s="173" t="n">
        <x:f>MAX(0,Q5*'Assumptions'!$G$15-'Assumptions'!$G$16)*'Assumptions'!$G$17/1000/'Assumptions'!$G$32</x:f>
        <x:v>118.31819538374546</x:v>
      </x:c>
      <x:c r="R15" s="173" t="n">
        <x:f>MAX(0,R5*'Assumptions'!$G$15-'Assumptions'!$G$16)*'Assumptions'!$G$17/1000/'Assumptions'!$G$32</x:f>
        <x:v>124.94215836420439</x:v>
      </x:c>
      <x:c r="S15" s="173" t="n">
        <x:f>MAX(0,S5*'Assumptions'!$G$15-'Assumptions'!$G$16)*'Assumptions'!$G$17/1000/'Assumptions'!$G$32</x:f>
        <x:v>131.89731949368624</x:v>
      </x:c>
      <x:c r="T15" s="173" t="n">
        <x:f>MAX(0,T5*'Assumptions'!$G$15-'Assumptions'!$G$16)*'Assumptions'!$G$17/1000/'Assumptions'!$G$32</x:f>
        <x:v>139.2002386796422</x:v>
      </x:c>
      <x:c r="U15" s="173" t="n">
        <x:f>MAX(0,U5*'Assumptions'!$G$15-'Assumptions'!$G$16)*'Assumptions'!$G$17/1000/'Assumptions'!$G$32</x:f>
        <x:v>146.86830382489597</x:v>
      </x:c>
      <x:c r="V15" s="173" t="n">
        <x:f>MAX(0,V5*'Assumptions'!$G$15-'Assumptions'!$G$16)*'Assumptions'!$G$17/1000/'Assumptions'!$G$32</x:f>
        <x:v>154.91977222741238</x:v>
      </x:c>
      <x:c r="W15" s="173" t="n">
        <x:f>MAX(0,W5*'Assumptions'!$G$15-'Assumptions'!$G$16)*'Assumptions'!$G$17/1000/'Assumptions'!$G$32</x:f>
        <x:v>163.37381405005465</x:v>
      </x:c>
      <x:c r="X15" s="173" t="n">
        <x:f>MAX(0,X5*'Assumptions'!$G$15-'Assumptions'!$G$16)*'Assumptions'!$G$17/1000/'Assumptions'!$G$32</x:f>
        <x:v>172.250557963829</x:v>
      </x:c>
      <x:c r="Y15" s="173" t="n">
        <x:f>MAX(0,Y5*'Assumptions'!$G$15-'Assumptions'!$G$16)*'Assumptions'!$G$17/1000/'Assumptions'!$G$32</x:f>
        <x:v>181.5711390732921</x:v>
      </x:c>
      <x:c r="Z15" s="173" t="n">
        <x:f>MAX(0,Z5*'Assumptions'!$G$15-'Assumptions'!$G$16)*'Assumptions'!$G$17/1000/'Assumptions'!$G$32</x:f>
        <x:v>191.35774923822834</x:v>
      </x:c>
      <x:c r="AA15" s="173" t="n">
        <x:f>MAX(0,AA5*'Assumptions'!$G$15-'Assumptions'!$G$16)*'Assumptions'!$G$17/1000/'Assumptions'!$G$32</x:f>
        <x:v>201.63368991141147</x:v>
      </x:c>
      <x:c r="AB15" s="173" t="n">
        <x:f>MAX(0,AB5*'Assumptions'!$G$15-'Assumptions'!$G$16)*'Assumptions'!$G$17/1000/'Assumptions'!$G$32</x:f>
        <x:v>212.42342761825364</x:v>
      </x:c>
      <x:c r="AC15" s="173" t="n">
        <x:f>MAX(0,AC5*'Assumptions'!$G$15-'Assumptions'!$G$16)*'Assumptions'!$G$17/1000/'Assumptions'!$G$32</x:f>
        <x:v>223.75265221043801</x:v>
      </x:c>
      <x:c r="AD15" s="173" t="n">
        <x:f>MAX(0,AD5*'Assumptions'!$G$15-'Assumptions'!$G$16)*'Assumptions'!$G$17/1000/'Assumptions'!$G$32</x:f>
        <x:v>235.64833803223152</x:v>
      </x:c>
      <x:c r="AE15" s="173" t="n">
        <x:f>MAX(0,AE5*'Assumptions'!$G$15-'Assumptions'!$G$16)*'Assumptions'!$G$17/1000/'Assumptions'!$G$32</x:f>
        <x:v>248.13880814511467</x:v>
      </x:c>
      <x:c r="AF15" s="173" t="n">
        <x:f>MAX(0,AF5*'Assumptions'!$G$15-'Assumptions'!$G$16)*'Assumptions'!$G$17/1000/'Assumptions'!$G$32</x:f>
        <x:v>261.2538017636421</x:v>
      </x:c>
      <x:c r="AG15" s="173" t="n">
        <x:f>MAX(0,AG5*'Assumptions'!$G$15-'Assumptions'!$G$16)*'Assumptions'!$G$17/1000/'Assumptions'!$G$32</x:f>
        <x:v>275.0245450630958</x:v>
      </x:c>
      <x:c r="AH15" s="173" t="n">
        <x:f>MAX(0,AH5*'Assumptions'!$G$15-'Assumptions'!$G$16)*'Assumptions'!$G$17/1000/'Assumptions'!$G$32</x:f>
        <x:v>289.48382552752224</x:v>
      </x:c>
      <x:c r="AI15" s="173" t="n">
        <x:f>MAX(0,AI5*'Assumptions'!$G$15-'Assumptions'!$G$16)*'Assumptions'!$G$17/1000/'Assumptions'!$G$32</x:f>
        <x:v>304.66607001517</x:v>
      </x:c>
      <x:c r="AJ15" s="173" t="n">
        <x:f>MAX(0,AJ5*'Assumptions'!$G$15-'Assumptions'!$G$16)*'Assumptions'!$G$17/1000/'Assumptions'!$G$32</x:f>
        <x:v>320.6074267272001</x:v>
      </x:c>
      <x:c r="AK15" s="173" t="n">
        <x:f>MAX(0,AK5*'Assumptions'!$G$15-'Assumptions'!$G$16)*'Assumptions'!$G$17/1000/'Assumptions'!$G$32</x:f>
        <x:v>337.3458512748318</x:v>
      </x:c>
    </x:row>
    <x:row r="16">
      <x:c r="A16" s="185" t="str">
        <x:v>GPT-5.6 Terra inference</x:v>
      </x:c>
      <x:c r="B16" s="173" t="n">
        <x:f>B5*'Assumptions'!$G$18*(('Assumptions'!$G$19*'Assumptions'!$G$21)+('Assumptions'!$G$20*'Assumptions'!$G$22))/1000000/'Assumptions'!$G$32</x:f>
        <x:v>94.407094836218</x:v>
      </x:c>
      <x:c r="C16" s="173" t="n">
        <x:f>C5*'Assumptions'!$G$18*(('Assumptions'!$G$19*'Assumptions'!$G$21)+('Assumptions'!$G$20*'Assumptions'!$G$22))/1000000/'Assumptions'!$G$32</x:f>
        <x:v>99.12744957802889</x:v>
      </x:c>
      <x:c r="D16" s="173" t="n">
        <x:f>D5*'Assumptions'!$G$18*(('Assumptions'!$G$19*'Assumptions'!$G$21)+('Assumptions'!$G$20*'Assumptions'!$G$22))/1000000/'Assumptions'!$G$32</x:f>
        <x:v>104.08382205693033</x:v>
      </x:c>
      <x:c r="E16" s="173" t="n">
        <x:f>E5*'Assumptions'!$G$18*(('Assumptions'!$G$19*'Assumptions'!$G$21)+('Assumptions'!$G$20*'Assumptions'!$G$22))/1000000/'Assumptions'!$G$32</x:f>
        <x:v>109.28801315977685</x:v>
      </x:c>
      <x:c r="F16" s="173" t="n">
        <x:f>F5*'Assumptions'!$G$18*(('Assumptions'!$G$19*'Assumptions'!$G$21)+('Assumptions'!$G$20*'Assumptions'!$G$22))/1000000/'Assumptions'!$G$32</x:f>
        <x:v>114.7524138177657</x:v>
      </x:c>
      <x:c r="G16" s="173" t="n">
        <x:f>G5*'Assumptions'!$G$18*(('Assumptions'!$G$19*'Assumptions'!$G$21)+('Assumptions'!$G$20*'Assumptions'!$G$22))/1000000/'Assumptions'!$G$32</x:f>
        <x:v>120.49003450865399</x:v>
      </x:c>
      <x:c r="H16" s="173" t="n">
        <x:f>H5*'Assumptions'!$G$18*(('Assumptions'!$G$19*'Assumptions'!$G$21)+('Assumptions'!$G$20*'Assumptions'!$G$22))/1000000/'Assumptions'!$G$32</x:f>
        <x:v>126.51453623408672</x:v>
      </x:c>
      <x:c r="I16" s="173" t="n">
        <x:f>I5*'Assumptions'!$G$18*(('Assumptions'!$G$19*'Assumptions'!$G$21)+('Assumptions'!$G$20*'Assumptions'!$G$22))/1000000/'Assumptions'!$G$32</x:f>
        <x:v>132.84026304579103</x:v>
      </x:c>
      <x:c r="J16" s="173" t="n">
        <x:f>J5*'Assumptions'!$G$18*(('Assumptions'!$G$19*'Assumptions'!$G$21)+('Assumptions'!$G$20*'Assumptions'!$G$22))/1000000/'Assumptions'!$G$32</x:f>
        <x:v>139.48227619808063</x:v>
      </x:c>
      <x:c r="K16" s="173" t="n">
        <x:f>K5*'Assumptions'!$G$18*(('Assumptions'!$G$19*'Assumptions'!$G$21)+('Assumptions'!$G$20*'Assumptions'!$G$22))/1000000/'Assumptions'!$G$32</x:f>
        <x:v>146.45639000798465</x:v>
      </x:c>
      <x:c r="L16" s="173" t="n">
        <x:f>L5*'Assumptions'!$G$18*(('Assumptions'!$G$19*'Assumptions'!$G$21)+('Assumptions'!$G$20*'Assumptions'!$G$22))/1000000/'Assumptions'!$G$32</x:f>
        <x:v>153.77920950838387</x:v>
      </x:c>
      <x:c r="M16" s="173" t="n">
        <x:f>M5*'Assumptions'!$G$18*(('Assumptions'!$G$19*'Assumptions'!$G$21)+('Assumptions'!$G$20*'Assumptions'!$G$22))/1000000/'Assumptions'!$G$32</x:f>
        <x:v>161.46816998380308</x:v>
      </x:c>
      <x:c r="N16" s="173" t="n">
        <x:f>N5*'Assumptions'!$G$18*(('Assumptions'!$G$19*'Assumptions'!$G$21)+('Assumptions'!$G$20*'Assumptions'!$G$22))/1000000/'Assumptions'!$G$32</x:f>
        <x:v>169.54157848299326</x:v>
      </x:c>
      <x:c r="O16" s="173" t="n">
        <x:f>O5*'Assumptions'!$G$18*(('Assumptions'!$G$19*'Assumptions'!$G$21)+('Assumptions'!$G$20*'Assumptions'!$G$22))/1000000/'Assumptions'!$G$32</x:f>
        <x:v>178.0186574071429</x:v>
      </x:c>
      <x:c r="P16" s="173" t="n">
        <x:f>P5*'Assumptions'!$G$18*(('Assumptions'!$G$19*'Assumptions'!$G$21)+('Assumptions'!$G$20*'Assumptions'!$G$22))/1000000/'Assumptions'!$G$32</x:f>
        <x:v>186.91959027750008</x:v>
      </x:c>
      <x:c r="Q16" s="173" t="n">
        <x:f>Q5*'Assumptions'!$G$18*(('Assumptions'!$G$19*'Assumptions'!$G$21)+('Assumptions'!$G$20*'Assumptions'!$G$22))/1000000/'Assumptions'!$G$32</x:f>
        <x:v>196.26556979137507</x:v>
      </x:c>
      <x:c r="R16" s="173" t="n">
        <x:f>R5*'Assumptions'!$G$18*(('Assumptions'!$G$19*'Assumptions'!$G$21)+('Assumptions'!$G$20*'Assumptions'!$G$22))/1000000/'Assumptions'!$G$32</x:f>
        <x:v>206.07884828094382</x:v>
      </x:c>
      <x:c r="S16" s="173" t="n">
        <x:f>S5*'Assumptions'!$G$18*(('Assumptions'!$G$19*'Assumptions'!$G$21)+('Assumptions'!$G$20*'Assumptions'!$G$22))/1000000/'Assumptions'!$G$32</x:f>
        <x:v>216.382790694991</x:v>
      </x:c>
      <x:c r="T16" s="173" t="n">
        <x:f>T5*'Assumptions'!$G$18*(('Assumptions'!$G$19*'Assumptions'!$G$21)+('Assumptions'!$G$20*'Assumptions'!$G$22))/1000000/'Assumptions'!$G$32</x:f>
        <x:v>227.20193022974058</x:v>
      </x:c>
      <x:c r="U16" s="173" t="n">
        <x:f>U5*'Assumptions'!$G$18*(('Assumptions'!$G$19*'Assumptions'!$G$21)+('Assumptions'!$G$20*'Assumptions'!$G$22))/1000000/'Assumptions'!$G$32</x:f>
        <x:v>238.56202674122764</x:v>
      </x:c>
      <x:c r="V16" s="173" t="n">
        <x:f>V5*'Assumptions'!$G$18*(('Assumptions'!$G$19*'Assumptions'!$G$21)+('Assumptions'!$G$20*'Assumptions'!$G$22))/1000000/'Assumptions'!$G$32</x:f>
        <x:v>250.49012807828902</x:v>
      </x:c>
      <x:c r="W16" s="173" t="n">
        <x:f>W5*'Assumptions'!$G$18*(('Assumptions'!$G$19*'Assumptions'!$G$21)+('Assumptions'!$G$20*'Assumptions'!$G$22))/1000000/'Assumptions'!$G$32</x:f>
        <x:v>263.01463448220346</x:v>
      </x:c>
      <x:c r="X16" s="173" t="n">
        <x:f>X5*'Assumptions'!$G$18*(('Assumptions'!$G$19*'Assumptions'!$G$21)+('Assumptions'!$G$20*'Assumptions'!$G$22))/1000000/'Assumptions'!$G$32</x:f>
        <x:v>276.1653662063137</x:v>
      </x:c>
      <x:c r="Y16" s="173" t="n">
        <x:f>Y5*'Assumptions'!$G$18*(('Assumptions'!$G$19*'Assumptions'!$G$21)+('Assumptions'!$G$20*'Assumptions'!$G$22))/1000000/'Assumptions'!$G$32</x:f>
        <x:v>289.9736345166294</x:v>
      </x:c>
      <x:c r="Z16" s="173" t="n">
        <x:f>Z5*'Assumptions'!$G$18*(('Assumptions'!$G$19*'Assumptions'!$G$21)+('Assumptions'!$G$20*'Assumptions'!$G$22))/1000000/'Assumptions'!$G$32</x:f>
        <x:v>304.47231624246086</x:v>
      </x:c>
      <x:c r="AA16" s="173" t="n">
        <x:f>AA5*'Assumptions'!$G$18*(('Assumptions'!$G$19*'Assumptions'!$G$21)+('Assumptions'!$G$20*'Assumptions'!$G$22))/1000000/'Assumptions'!$G$32</x:f>
        <x:v>319.69593205458386</x:v>
      </x:c>
      <x:c r="AB16" s="173" t="n">
        <x:f>AB5*'Assumptions'!$G$18*(('Assumptions'!$G$19*'Assumptions'!$G$21)+('Assumptions'!$G$20*'Assumptions'!$G$22))/1000000/'Assumptions'!$G$32</x:f>
        <x:v>335.6807286573131</x:v>
      </x:c>
      <x:c r="AC16" s="173" t="n">
        <x:f>AC5*'Assumptions'!$G$18*(('Assumptions'!$G$19*'Assumptions'!$G$21)+('Assumptions'!$G$20*'Assumptions'!$G$22))/1000000/'Assumptions'!$G$32</x:f>
        <x:v>352.4647650901788</x:v>
      </x:c>
      <x:c r="AD16" s="173" t="n">
        <x:f>AD5*'Assumptions'!$G$18*(('Assumptions'!$G$19*'Assumptions'!$G$21)+('Assumptions'!$G$20*'Assumptions'!$G$22))/1000000/'Assumptions'!$G$32</x:f>
        <x:v>370.0880033446877</x:v>
      </x:c>
      <x:c r="AE16" s="173" t="n">
        <x:f>AE5*'Assumptions'!$G$18*(('Assumptions'!$G$19*'Assumptions'!$G$21)+('Assumptions'!$G$20*'Assumptions'!$G$22))/1000000/'Assumptions'!$G$32</x:f>
        <x:v>388.59240351192216</x:v>
      </x:c>
      <x:c r="AF16" s="173" t="n">
        <x:f>AF5*'Assumptions'!$G$18*(('Assumptions'!$G$19*'Assumptions'!$G$21)+('Assumptions'!$G$20*'Assumptions'!$G$22))/1000000/'Assumptions'!$G$32</x:f>
        <x:v>408.02202368751813</x:v>
      </x:c>
      <x:c r="AG16" s="173" t="n">
        <x:f>AG5*'Assumptions'!$G$18*(('Assumptions'!$G$19*'Assumptions'!$G$21)+('Assumptions'!$G$20*'Assumptions'!$G$22))/1000000/'Assumptions'!$G$32</x:f>
        <x:v>428.42312487189406</x:v>
      </x:c>
      <x:c r="AH16" s="173" t="n">
        <x:f>AH5*'Assumptions'!$G$18*(('Assumptions'!$G$19*'Assumptions'!$G$21)+('Assumptions'!$G$20*'Assumptions'!$G$22))/1000000/'Assumptions'!$G$32</x:f>
        <x:v>449.84428111548885</x:v>
      </x:c>
      <x:c r="AI16" s="173" t="n">
        <x:f>AI5*'Assumptions'!$G$18*(('Assumptions'!$G$19*'Assumptions'!$G$21)+('Assumptions'!$G$20*'Assumptions'!$G$22))/1000000/'Assumptions'!$G$32</x:f>
        <x:v>472.33649517126327</x:v>
      </x:c>
      <x:c r="AJ16" s="173" t="n">
        <x:f>AJ5*'Assumptions'!$G$18*(('Assumptions'!$G$19*'Assumptions'!$G$21)+('Assumptions'!$G$20*'Assumptions'!$G$22))/1000000/'Assumptions'!$G$32</x:f>
        <x:v>495.95331992982636</x:v>
      </x:c>
      <x:c r="AK16" s="173" t="n">
        <x:f>AK5*'Assumptions'!$G$18*(('Assumptions'!$G$19*'Assumptions'!$G$21)+('Assumptions'!$G$20*'Assumptions'!$G$22))/1000000/'Assumptions'!$G$32</x:f>
        <x:v>520.7509859263178</x:v>
      </x:c>
    </x:row>
    <x:row r="17">
      <x:c r="A17" s="185" t="str">
        <x:v>GPT-Realtime-2.1 voice assistant</x:v>
      </x:c>
      <x:c r="B17" s="173" t="n">
        <x:f>B5*'Assumptions'!$G$23*(('Assumptions'!$G$24*'Assumptions'!$G$26)+('Assumptions'!$G$25*'Assumptions'!$G$27))/1000000/'Assumptions'!$G$32</x:f>
        <x:v>823.9164640251752</x:v>
      </x:c>
      <x:c r="C17" s="173" t="n">
        <x:f>C5*'Assumptions'!$G$23*(('Assumptions'!$G$24*'Assumptions'!$G$26)+('Assumptions'!$G$25*'Assumptions'!$G$27))/1000000/'Assumptions'!$G$32</x:f>
        <x:v>865.1122872264339</x:v>
      </x:c>
      <x:c r="D17" s="173" t="n">
        <x:f>D5*'Assumptions'!$G$23*(('Assumptions'!$G$24*'Assumptions'!$G$26)+('Assumptions'!$G$25*'Assumptions'!$G$27))/1000000/'Assumptions'!$G$32</x:f>
        <x:v>908.3679015877556</x:v>
      </x:c>
      <x:c r="E17" s="173" t="n">
        <x:f>E5*'Assumptions'!$G$23*(('Assumptions'!$G$24*'Assumptions'!$G$26)+('Assumptions'!$G$25*'Assumptions'!$G$27))/1000000/'Assumptions'!$G$32</x:f>
        <x:v>953.7862966671435</x:v>
      </x:c>
      <x:c r="F17" s="173" t="n">
        <x:f>F5*'Assumptions'!$G$23*(('Assumptions'!$G$24*'Assumptions'!$G$26)+('Assumptions'!$G$25*'Assumptions'!$G$27))/1000000/'Assumptions'!$G$32</x:f>
        <x:v>1001.4756115005008</x:v>
      </x:c>
      <x:c r="G17" s="173" t="n">
        <x:f>G5*'Assumptions'!$G$23*(('Assumptions'!$G$24*'Assumptions'!$G$26)+('Assumptions'!$G$25*'Assumptions'!$G$27))/1000000/'Assumptions'!$G$32</x:f>
        <x:v>1051.5493920755257</x:v>
      </x:c>
      <x:c r="H17" s="173" t="n">
        <x:f>H5*'Assumptions'!$G$23*(('Assumptions'!$G$24*'Assumptions'!$G$26)+('Assumptions'!$G$25*'Assumptions'!$G$27))/1000000/'Assumptions'!$G$32</x:f>
        <x:v>1104.1268616793022</x:v>
      </x:c>
      <x:c r="I17" s="173" t="n">
        <x:f>I5*'Assumptions'!$G$23*(('Assumptions'!$G$24*'Assumptions'!$G$26)+('Assumptions'!$G$25*'Assumptions'!$G$27))/1000000/'Assumptions'!$G$32</x:f>
        <x:v>1159.3332047632673</x:v>
      </x:c>
      <x:c r="J17" s="173" t="n">
        <x:f>J5*'Assumptions'!$G$23*(('Assumptions'!$G$24*'Assumptions'!$G$26)+('Assumptions'!$G$25*'Assumptions'!$G$27))/1000000/'Assumptions'!$G$32</x:f>
        <x:v>1217.2998650014308</x:v>
      </x:c>
      <x:c r="K17" s="173" t="n">
        <x:f>K5*'Assumptions'!$G$23*(('Assumptions'!$G$24*'Assumptions'!$G$26)+('Assumptions'!$G$25*'Assumptions'!$G$27))/1000000/'Assumptions'!$G$32</x:f>
        <x:v>1278.1648582515024</x:v>
      </x:c>
      <x:c r="L17" s="173" t="n">
        <x:f>L5*'Assumptions'!$G$23*(('Assumptions'!$G$24*'Assumptions'!$G$26)+('Assumptions'!$G$25*'Assumptions'!$G$27))/1000000/'Assumptions'!$G$32</x:f>
        <x:v>1342.0731011640776</x:v>
      </x:c>
      <x:c r="M17" s="173" t="n">
        <x:f>M5*'Assumptions'!$G$23*(('Assumptions'!$G$24*'Assumptions'!$G$26)+('Assumptions'!$G$25*'Assumptions'!$G$27))/1000000/'Assumptions'!$G$32</x:f>
        <x:v>1409.1767562222815</x:v>
      </x:c>
      <x:c r="N17" s="173" t="n">
        <x:f>N5*'Assumptions'!$G$23*(('Assumptions'!$G$24*'Assumptions'!$G$26)+('Assumptions'!$G$25*'Assumptions'!$G$27))/1000000/'Assumptions'!$G$32</x:f>
        <x:v>1479.6355940333956</x:v>
      </x:c>
      <x:c r="O17" s="173" t="n">
        <x:f>O5*'Assumptions'!$G$23*(('Assumptions'!$G$24*'Assumptions'!$G$26)+('Assumptions'!$G$25*'Assumptions'!$G$27))/1000000/'Assumptions'!$G$32</x:f>
        <x:v>1553.6173737350653</x:v>
      </x:c>
      <x:c r="P17" s="173" t="n">
        <x:f>P5*'Assumptions'!$G$23*(('Assumptions'!$G$24*'Assumptions'!$G$26)+('Assumptions'!$G$25*'Assumptions'!$G$27))/1000000/'Assumptions'!$G$32</x:f>
        <x:v>1631.298242421819</x:v>
      </x:c>
      <x:c r="Q17" s="173" t="n">
        <x:f>Q5*'Assumptions'!$G$23*(('Assumptions'!$G$24*'Assumptions'!$G$26)+('Assumptions'!$G$25*'Assumptions'!$G$27))/1000000/'Assumptions'!$G$32</x:f>
        <x:v>1712.8631545429098</x:v>
      </x:c>
      <x:c r="R17" s="173" t="n">
        <x:f>R5*'Assumptions'!$G$23*(('Assumptions'!$G$24*'Assumptions'!$G$26)+('Assumptions'!$G$25*'Assumptions'!$G$27))/1000000/'Assumptions'!$G$32</x:f>
        <x:v>1798.5063122700553</x:v>
      </x:c>
      <x:c r="S17" s="173" t="n">
        <x:f>S5*'Assumptions'!$G$23*(('Assumptions'!$G$24*'Assumptions'!$G$26)+('Assumptions'!$G$25*'Assumptions'!$G$27))/1000000/'Assumptions'!$G$32</x:f>
        <x:v>1888.4316278835581</x:v>
      </x:c>
      <x:c r="T17" s="173" t="n">
        <x:f>T5*'Assumptions'!$G$23*(('Assumptions'!$G$24*'Assumptions'!$G$26)+('Assumptions'!$G$25*'Assumptions'!$G$27))/1000000/'Assumptions'!$G$32</x:f>
        <x:v>1982.8532092777364</x:v>
      </x:c>
      <x:c r="U17" s="173" t="n">
        <x:f>U5*'Assumptions'!$G$23*(('Assumptions'!$G$24*'Assumptions'!$G$26)+('Assumptions'!$G$25*'Assumptions'!$G$27))/1000000/'Assumptions'!$G$32</x:f>
        <x:v>2081.995869741623</x:v>
      </x:c>
      <x:c r="V17" s="173" t="n">
        <x:f>V5*'Assumptions'!$G$23*(('Assumptions'!$G$24*'Assumptions'!$G$26)+('Assumptions'!$G$25*'Assumptions'!$G$27))/1000000/'Assumptions'!$G$32</x:f>
        <x:v>2186.0956632287043</x:v>
      </x:c>
      <x:c r="W17" s="173" t="n">
        <x:f>W5*'Assumptions'!$G$23*(('Assumptions'!$G$24*'Assumptions'!$G$26)+('Assumptions'!$G$25*'Assumptions'!$G$27))/1000000/'Assumptions'!$G$32</x:f>
        <x:v>2295.400446390139</x:v>
      </x:c>
      <x:c r="X17" s="173" t="n">
        <x:f>X5*'Assumptions'!$G$23*(('Assumptions'!$G$24*'Assumptions'!$G$26)+('Assumptions'!$G$25*'Assumptions'!$G$27))/1000000/'Assumptions'!$G$32</x:f>
        <x:v>2410.1704687096467</x:v>
      </x:c>
      <x:c r="Y17" s="173" t="n">
        <x:f>Y5*'Assumptions'!$G$23*(('Assumptions'!$G$24*'Assumptions'!$G$26)+('Assumptions'!$G$25*'Assumptions'!$G$27))/1000000/'Assumptions'!$G$32</x:f>
        <x:v>2530.678992145129</x:v>
      </x:c>
      <x:c r="Z17" s="173" t="n">
        <x:f>Z5*'Assumptions'!$G$23*(('Assumptions'!$G$24*'Assumptions'!$G$26)+('Assumptions'!$G$25*'Assumptions'!$G$27))/1000000/'Assumptions'!$G$32</x:f>
        <x:v>2657.2129417523856</x:v>
      </x:c>
      <x:c r="AA17" s="173" t="n">
        <x:f>AA5*'Assumptions'!$G$23*(('Assumptions'!$G$24*'Assumptions'!$G$26)+('Assumptions'!$G$25*'Assumptions'!$G$27))/1000000/'Assumptions'!$G$32</x:f>
        <x:v>2790.073588840005</x:v>
      </x:c>
      <x:c r="AB17" s="173" t="n">
        <x:f>AB5*'Assumptions'!$G$23*(('Assumptions'!$G$24*'Assumptions'!$G$26)+('Assumptions'!$G$25*'Assumptions'!$G$27))/1000000/'Assumptions'!$G$32</x:f>
        <x:v>2929.5772682820057</x:v>
      </x:c>
      <x:c r="AC17" s="173" t="n">
        <x:f>AC5*'Assumptions'!$G$23*(('Assumptions'!$G$24*'Assumptions'!$G$26)+('Assumptions'!$G$25*'Assumptions'!$G$27))/1000000/'Assumptions'!$G$32</x:f>
        <x:v>3076.0561316961052</x:v>
      </x:c>
      <x:c r="AD17" s="173" t="n">
        <x:f>AD5*'Assumptions'!$G$23*(('Assumptions'!$G$24*'Assumptions'!$G$26)+('Assumptions'!$G$25*'Assumptions'!$G$27))/1000000/'Assumptions'!$G$32</x:f>
        <x:v>3229.858938280912</x:v>
      </x:c>
      <x:c r="AE17" s="173" t="n">
        <x:f>AE5*'Assumptions'!$G$23*(('Assumptions'!$G$24*'Assumptions'!$G$26)+('Assumptions'!$G$25*'Assumptions'!$G$27))/1000000/'Assumptions'!$G$32</x:f>
        <x:v>3391.351885194957</x:v>
      </x:c>
      <x:c r="AF17" s="173" t="n">
        <x:f>AF5*'Assumptions'!$G$23*(('Assumptions'!$G$24*'Assumptions'!$G$26)+('Assumptions'!$G$25*'Assumptions'!$G$27))/1000000/'Assumptions'!$G$32</x:f>
        <x:v>3560.9194794547043</x:v>
      </x:c>
      <x:c r="AG17" s="173" t="n">
        <x:f>AG5*'Assumptions'!$G$23*(('Assumptions'!$G$24*'Assumptions'!$G$26)+('Assumptions'!$G$25*'Assumptions'!$G$27))/1000000/'Assumptions'!$G$32</x:f>
        <x:v>3738.9654534274396</x:v>
      </x:c>
      <x:c r="AH17" s="173" t="n">
        <x:f>AH5*'Assumptions'!$G$23*(('Assumptions'!$G$24*'Assumptions'!$G$26)+('Assumptions'!$G$25*'Assumptions'!$G$27))/1000000/'Assumptions'!$G$32</x:f>
        <x:v>3925.913726098812</x:v>
      </x:c>
      <x:c r="AI17" s="173" t="n">
        <x:f>AI5*'Assumptions'!$G$23*(('Assumptions'!$G$24*'Assumptions'!$G$26)+('Assumptions'!$G$25*'Assumptions'!$G$27))/1000000/'Assumptions'!$G$32</x:f>
        <x:v>4122.209412403752</x:v>
      </x:c>
      <x:c r="AJ17" s="173" t="n">
        <x:f>AJ5*'Assumptions'!$G$23*(('Assumptions'!$G$24*'Assumptions'!$G$26)+('Assumptions'!$G$25*'Assumptions'!$G$27))/1000000/'Assumptions'!$G$32</x:f>
        <x:v>4328.319883023939</x:v>
      </x:c>
      <x:c r="AK17" s="173" t="n">
        <x:f>AK5*'Assumptions'!$G$23*(('Assumptions'!$G$24*'Assumptions'!$G$26)+('Assumptions'!$G$25*'Assumptions'!$G$27))/1000000/'Assumptions'!$G$32</x:f>
        <x:v>4544.735877175137</x:v>
      </x:c>
    </x:row>
    <x:row r="18">
      <x:c r="A18" s="185" t="str">
        <x:v>Cloudflare Stream delivery</x:v>
      </x:c>
      <x:c r="B18" s="173" t="n">
        <x:f>B5*'Assumptions'!$G$28*'Assumptions'!$G$31/1000/'Assumptions'!$G$32</x:f>
        <x:v>171.64926333857815</x:v>
      </x:c>
      <x:c r="C18" s="173" t="n">
        <x:f>C5*'Assumptions'!$G$28*'Assumptions'!$G$31/1000/'Assumptions'!$G$32</x:f>
        <x:v>180.23172650550705</x:v>
      </x:c>
      <x:c r="D18" s="173" t="n">
        <x:f>D5*'Assumptions'!$G$28*'Assumptions'!$G$31/1000/'Assumptions'!$G$32</x:f>
        <x:v>189.24331283078243</x:v>
      </x:c>
      <x:c r="E18" s="173" t="n">
        <x:f>E5*'Assumptions'!$G$28*'Assumptions'!$G$31/1000/'Assumptions'!$G$32</x:f>
        <x:v>198.70547847232152</x:v>
      </x:c>
      <x:c r="F18" s="173" t="n">
        <x:f>F5*'Assumptions'!$G$28*'Assumptions'!$G$31/1000/'Assumptions'!$G$32</x:f>
        <x:v>208.64075239593765</x:v>
      </x:c>
      <x:c r="G18" s="173" t="n">
        <x:f>G5*'Assumptions'!$G$28*'Assumptions'!$G$31/1000/'Assumptions'!$G$32</x:f>
        <x:v>219.07279001573454</x:v>
      </x:c>
      <x:c r="H18" s="173" t="n">
        <x:f>H5*'Assumptions'!$G$28*'Assumptions'!$G$31/1000/'Assumptions'!$G$32</x:f>
        <x:v>230.0264295165213</x:v>
      </x:c>
      <x:c r="I18" s="173" t="n">
        <x:f>I5*'Assumptions'!$G$28*'Assumptions'!$G$31/1000/'Assumptions'!$G$32</x:f>
        <x:v>241.52775099234734</x:v>
      </x:c>
      <x:c r="J18" s="173" t="n">
        <x:f>J5*'Assumptions'!$G$28*'Assumptions'!$G$31/1000/'Assumptions'!$G$32</x:f>
        <x:v>253.60413854196474</x:v>
      </x:c>
      <x:c r="K18" s="173" t="n">
        <x:f>K5*'Assumptions'!$G$28*'Assumptions'!$G$31/1000/'Assumptions'!$G$32</x:f>
        <x:v>266.284345469063</x:v>
      </x:c>
      <x:c r="L18" s="173" t="n">
        <x:f>L5*'Assumptions'!$G$28*'Assumptions'!$G$31/1000/'Assumptions'!$G$32</x:f>
        <x:v>279.59856274251615</x:v>
      </x:c>
      <x:c r="M18" s="173" t="n">
        <x:f>M5*'Assumptions'!$G$28*'Assumptions'!$G$31/1000/'Assumptions'!$G$32</x:f>
        <x:v>293.57849087964195</x:v>
      </x:c>
      <x:c r="N18" s="173" t="n">
        <x:f>N5*'Assumptions'!$G$28*'Assumptions'!$G$31/1000/'Assumptions'!$G$32</x:f>
        <x:v>308.2574154236241</x:v>
      </x:c>
      <x:c r="O18" s="173" t="n">
        <x:f>O5*'Assumptions'!$G$28*'Assumptions'!$G$31/1000/'Assumptions'!$G$32</x:f>
        <x:v>323.6702861948053</x:v>
      </x:c>
      <x:c r="P18" s="173" t="n">
        <x:f>P5*'Assumptions'!$G$28*'Assumptions'!$G$31/1000/'Assumptions'!$G$32</x:f>
        <x:v>339.8538005045456</x:v>
      </x:c>
      <x:c r="Q18" s="173" t="n">
        <x:f>Q5*'Assumptions'!$G$28*'Assumptions'!$G$31/1000/'Assumptions'!$G$32</x:f>
        <x:v>356.84649052977284</x:v>
      </x:c>
      <x:c r="R18" s="173" t="n">
        <x:f>R5*'Assumptions'!$G$28*'Assumptions'!$G$31/1000/'Assumptions'!$G$32</x:f>
        <x:v>374.6888150562615</x:v>
      </x:c>
      <x:c r="S18" s="173" t="n">
        <x:f>S5*'Assumptions'!$G$28*'Assumptions'!$G$31/1000/'Assumptions'!$G$32</x:f>
        <x:v>393.4232558090746</x:v>
      </x:c>
      <x:c r="T18" s="173" t="n">
        <x:f>T5*'Assumptions'!$G$28*'Assumptions'!$G$31/1000/'Assumptions'!$G$32</x:f>
        <x:v>413.09441859952835</x:v>
      </x:c>
      <x:c r="U18" s="173" t="n">
        <x:f>U5*'Assumptions'!$G$28*'Assumptions'!$G$31/1000/'Assumptions'!$G$32</x:f>
        <x:v>433.7491395295048</x:v>
      </x:c>
      <x:c r="V18" s="173" t="n">
        <x:f>V5*'Assumptions'!$G$28*'Assumptions'!$G$31/1000/'Assumptions'!$G$32</x:f>
        <x:v>455.43659650598</x:v>
      </x:c>
      <x:c r="W18" s="173" t="n">
        <x:f>W5*'Assumptions'!$G$28*'Assumptions'!$G$31/1000/'Assumptions'!$G$32</x:f>
        <x:v>478.20842633127904</x:v>
      </x:c>
      <x:c r="X18" s="173" t="n">
        <x:f>X5*'Assumptions'!$G$28*'Assumptions'!$G$31/1000/'Assumptions'!$G$32</x:f>
        <x:v>502.1188476478431</x:v>
      </x:c>
      <x:c r="Y18" s="173" t="n">
        <x:f>Y5*'Assumptions'!$G$28*'Assumptions'!$G$31/1000/'Assumptions'!$G$32</x:f>
        <x:v>527.2247900302352</x:v>
      </x:c>
      <x:c r="Z18" s="173" t="n">
        <x:f>Z5*'Assumptions'!$G$28*'Assumptions'!$G$31/1000/'Assumptions'!$G$32</x:f>
        <x:v>553.586029531747</x:v>
      </x:c>
      <x:c r="AA18" s="173" t="n">
        <x:f>AA5*'Assumptions'!$G$28*'Assumptions'!$G$31/1000/'Assumptions'!$G$32</x:f>
        <x:v>581.2653310083343</x:v>
      </x:c>
      <x:c r="AB18" s="173" t="n">
        <x:f>AB5*'Assumptions'!$G$28*'Assumptions'!$G$31/1000/'Assumptions'!$G$32</x:f>
        <x:v>610.3285975587511</x:v>
      </x:c>
      <x:c r="AC18" s="173" t="n">
        <x:f>AC5*'Assumptions'!$G$28*'Assumptions'!$G$31/1000/'Assumptions'!$G$32</x:f>
        <x:v>640.8450274366886</x:v>
      </x:c>
      <x:c r="AD18" s="173" t="n">
        <x:f>AD5*'Assumptions'!$G$28*'Assumptions'!$G$31/1000/'Assumptions'!$G$32</x:f>
        <x:v>672.8872788085232</x:v>
      </x:c>
      <x:c r="AE18" s="173" t="n">
        <x:f>AE5*'Assumptions'!$G$28*'Assumptions'!$G$31/1000/'Assumptions'!$G$32</x:f>
        <x:v>706.5316427489493</x:v>
      </x:c>
      <x:c r="AF18" s="173" t="n">
        <x:f>AF5*'Assumptions'!$G$28*'Assumptions'!$G$31/1000/'Assumptions'!$G$32</x:f>
        <x:v>741.8582248863968</x:v>
      </x:c>
      <x:c r="AG18" s="173" t="n">
        <x:f>AG5*'Assumptions'!$G$28*'Assumptions'!$G$31/1000/'Assumptions'!$G$32</x:f>
        <x:v>778.9511361307166</x:v>
      </x:c>
      <x:c r="AH18" s="173" t="n">
        <x:f>AH5*'Assumptions'!$G$28*'Assumptions'!$G$31/1000/'Assumptions'!$G$32</x:f>
        <x:v>817.8986929372525</x:v>
      </x:c>
      <x:c r="AI18" s="173" t="n">
        <x:f>AI5*'Assumptions'!$G$28*'Assumptions'!$G$31/1000/'Assumptions'!$G$32</x:f>
        <x:v>858.793627584115</x:v>
      </x:c>
      <x:c r="AJ18" s="173" t="n">
        <x:f>AJ5*'Assumptions'!$G$28*'Assumptions'!$G$31/1000/'Assumptions'!$G$32</x:f>
        <x:v>901.7333089633208</x:v>
      </x:c>
      <x:c r="AK18" s="173" t="n">
        <x:f>AK5*'Assumptions'!$G$28*'Assumptions'!$G$31/1000/'Assumptions'!$G$32</x:f>
        <x:v>946.8199744114869</x:v>
      </x:c>
    </x:row>
    <x:row r="19">
      <x:c r="A19" s="185" t="str">
        <x:v>Cloudflare Stream storage</x:v>
      </x:c>
      <x:c r="B19" s="173" t="n">
        <x:f>CEILING('Assumptions'!$G$29/1000,1)*'Assumptions'!$G$30/'Assumptions'!$G$32</x:f>
        <x:v>71.52052639107423</x:v>
      </x:c>
      <x:c r="C19" s="173" t="n">
        <x:f>CEILING('Assumptions'!$G$29/1000,1)*'Assumptions'!$G$30/'Assumptions'!$G$32</x:f>
        <x:v>71.52052639107423</x:v>
      </x:c>
      <x:c r="D19" s="173" t="n">
        <x:f>CEILING('Assumptions'!$G$29/1000,1)*'Assumptions'!$G$30/'Assumptions'!$G$32</x:f>
        <x:v>71.52052639107423</x:v>
      </x:c>
      <x:c r="E19" s="173" t="n">
        <x:f>CEILING('Assumptions'!$G$29/1000,1)*'Assumptions'!$G$30/'Assumptions'!$G$32</x:f>
        <x:v>71.52052639107423</x:v>
      </x:c>
      <x:c r="F19" s="173" t="n">
        <x:f>CEILING('Assumptions'!$G$29/1000,1)*'Assumptions'!$G$30/'Assumptions'!$G$32</x:f>
        <x:v>71.52052639107423</x:v>
      </x:c>
      <x:c r="G19" s="173" t="n">
        <x:f>CEILING('Assumptions'!$G$29/1000,1)*'Assumptions'!$G$30/'Assumptions'!$G$32</x:f>
        <x:v>71.52052639107423</x:v>
      </x:c>
      <x:c r="H19" s="173" t="n">
        <x:f>CEILING('Assumptions'!$G$29/1000,1)*'Assumptions'!$G$30/'Assumptions'!$G$32</x:f>
        <x:v>71.52052639107423</x:v>
      </x:c>
      <x:c r="I19" s="173" t="n">
        <x:f>CEILING('Assumptions'!$G$29/1000,1)*'Assumptions'!$G$30/'Assumptions'!$G$32</x:f>
        <x:v>71.52052639107423</x:v>
      </x:c>
      <x:c r="J19" s="173" t="n">
        <x:f>CEILING('Assumptions'!$G$29/1000,1)*'Assumptions'!$G$30/'Assumptions'!$G$32</x:f>
        <x:v>71.52052639107423</x:v>
      </x:c>
      <x:c r="K19" s="173" t="n">
        <x:f>CEILING('Assumptions'!$G$29/1000,1)*'Assumptions'!$G$30/'Assumptions'!$G$32</x:f>
        <x:v>71.52052639107423</x:v>
      </x:c>
      <x:c r="L19" s="173" t="n">
        <x:f>CEILING('Assumptions'!$G$29/1000,1)*'Assumptions'!$G$30/'Assumptions'!$G$32</x:f>
        <x:v>71.52052639107423</x:v>
      </x:c>
      <x:c r="M19" s="173" t="n">
        <x:f>CEILING('Assumptions'!$G$29/1000,1)*'Assumptions'!$G$30/'Assumptions'!$G$32</x:f>
        <x:v>71.52052639107423</x:v>
      </x:c>
      <x:c r="N19" s="173" t="n">
        <x:f>CEILING('Assumptions'!$G$29/1000,1)*'Assumptions'!$G$30/'Assumptions'!$G$32</x:f>
        <x:v>71.52052639107423</x:v>
      </x:c>
      <x:c r="O19" s="173" t="n">
        <x:f>CEILING('Assumptions'!$G$29/1000,1)*'Assumptions'!$G$30/'Assumptions'!$G$32</x:f>
        <x:v>71.52052639107423</x:v>
      </x:c>
      <x:c r="P19" s="173" t="n">
        <x:f>CEILING('Assumptions'!$G$29/1000,1)*'Assumptions'!$G$30/'Assumptions'!$G$32</x:f>
        <x:v>71.52052639107423</x:v>
      </x:c>
      <x:c r="Q19" s="173" t="n">
        <x:f>CEILING('Assumptions'!$G$29/1000,1)*'Assumptions'!$G$30/'Assumptions'!$G$32</x:f>
        <x:v>71.52052639107423</x:v>
      </x:c>
      <x:c r="R19" s="173" t="n">
        <x:f>CEILING('Assumptions'!$G$29/1000,1)*'Assumptions'!$G$30/'Assumptions'!$G$32</x:f>
        <x:v>71.52052639107423</x:v>
      </x:c>
      <x:c r="S19" s="173" t="n">
        <x:f>CEILING('Assumptions'!$G$29/1000,1)*'Assumptions'!$G$30/'Assumptions'!$G$32</x:f>
        <x:v>71.52052639107423</x:v>
      </x:c>
      <x:c r="T19" s="173" t="n">
        <x:f>CEILING('Assumptions'!$G$29/1000,1)*'Assumptions'!$G$30/'Assumptions'!$G$32</x:f>
        <x:v>71.52052639107423</x:v>
      </x:c>
      <x:c r="U19" s="173" t="n">
        <x:f>CEILING('Assumptions'!$G$29/1000,1)*'Assumptions'!$G$30/'Assumptions'!$G$32</x:f>
        <x:v>71.52052639107423</x:v>
      </x:c>
      <x:c r="V19" s="173" t="n">
        <x:f>CEILING('Assumptions'!$G$29/1000,1)*'Assumptions'!$G$30/'Assumptions'!$G$32</x:f>
        <x:v>71.52052639107423</x:v>
      </x:c>
      <x:c r="W19" s="173" t="n">
        <x:f>CEILING('Assumptions'!$G$29/1000,1)*'Assumptions'!$G$30/'Assumptions'!$G$32</x:f>
        <x:v>71.52052639107423</x:v>
      </x:c>
      <x:c r="X19" s="173" t="n">
        <x:f>CEILING('Assumptions'!$G$29/1000,1)*'Assumptions'!$G$30/'Assumptions'!$G$32</x:f>
        <x:v>71.52052639107423</x:v>
      </x:c>
      <x:c r="Y19" s="173" t="n">
        <x:f>CEILING('Assumptions'!$G$29/1000,1)*'Assumptions'!$G$30/'Assumptions'!$G$32</x:f>
        <x:v>71.52052639107423</x:v>
      </x:c>
      <x:c r="Z19" s="173" t="n">
        <x:f>CEILING('Assumptions'!$G$29/1000,1)*'Assumptions'!$G$30/'Assumptions'!$G$32</x:f>
        <x:v>71.52052639107423</x:v>
      </x:c>
      <x:c r="AA19" s="173" t="n">
        <x:f>CEILING('Assumptions'!$G$29/1000,1)*'Assumptions'!$G$30/'Assumptions'!$G$32</x:f>
        <x:v>71.52052639107423</x:v>
      </x:c>
      <x:c r="AB19" s="173" t="n">
        <x:f>CEILING('Assumptions'!$G$29/1000,1)*'Assumptions'!$G$30/'Assumptions'!$G$32</x:f>
        <x:v>71.52052639107423</x:v>
      </x:c>
      <x:c r="AC19" s="173" t="n">
        <x:f>CEILING('Assumptions'!$G$29/1000,1)*'Assumptions'!$G$30/'Assumptions'!$G$32</x:f>
        <x:v>71.52052639107423</x:v>
      </x:c>
      <x:c r="AD19" s="173" t="n">
        <x:f>CEILING('Assumptions'!$G$29/1000,1)*'Assumptions'!$G$30/'Assumptions'!$G$32</x:f>
        <x:v>71.52052639107423</x:v>
      </x:c>
      <x:c r="AE19" s="173" t="n">
        <x:f>CEILING('Assumptions'!$G$29/1000,1)*'Assumptions'!$G$30/'Assumptions'!$G$32</x:f>
        <x:v>71.52052639107423</x:v>
      </x:c>
      <x:c r="AF19" s="173" t="n">
        <x:f>CEILING('Assumptions'!$G$29/1000,1)*'Assumptions'!$G$30/'Assumptions'!$G$32</x:f>
        <x:v>71.52052639107423</x:v>
      </x:c>
      <x:c r="AG19" s="173" t="n">
        <x:f>CEILING('Assumptions'!$G$29/1000,1)*'Assumptions'!$G$30/'Assumptions'!$G$32</x:f>
        <x:v>71.52052639107423</x:v>
      </x:c>
      <x:c r="AH19" s="173" t="n">
        <x:f>CEILING('Assumptions'!$G$29/1000,1)*'Assumptions'!$G$30/'Assumptions'!$G$32</x:f>
        <x:v>71.52052639107423</x:v>
      </x:c>
      <x:c r="AI19" s="173" t="n">
        <x:f>CEILING('Assumptions'!$G$29/1000,1)*'Assumptions'!$G$30/'Assumptions'!$G$32</x:f>
        <x:v>71.52052639107423</x:v>
      </x:c>
      <x:c r="AJ19" s="173" t="n">
        <x:f>CEILING('Assumptions'!$G$29/1000,1)*'Assumptions'!$G$30/'Assumptions'!$G$32</x:f>
        <x:v>71.52052639107423</x:v>
      </x:c>
      <x:c r="AK19" s="173" t="n">
        <x:f>CEILING('Assumptions'!$G$29/1000,1)*'Assumptions'!$G$30/'Assumptions'!$G$32</x:f>
        <x:v>71.52052639107423</x:v>
      </x:c>
    </x:row>
    <x:row r="20">
      <x:c r="A20" s="185" t="str">
        <x:v>Composition / publisher licences</x:v>
      </x:c>
      <x:c r="B20" s="173" t="n">
        <x:f>'Assumptions'!$G$35</x:f>
        <x:v>5000</x:v>
      </x:c>
      <x:c r="C20" s="173" t="n">
        <x:f>'Assumptions'!$G$35</x:f>
        <x:v>5000</x:v>
      </x:c>
      <x:c r="D20" s="173" t="n">
        <x:f>'Assumptions'!$G$35</x:f>
        <x:v>5000</x:v>
      </x:c>
      <x:c r="E20" s="173" t="n">
        <x:f>'Assumptions'!$G$35</x:f>
        <x:v>5000</x:v>
      </x:c>
      <x:c r="F20" s="173" t="n">
        <x:f>'Assumptions'!$G$35</x:f>
        <x:v>5000</x:v>
      </x:c>
      <x:c r="G20" s="173" t="n">
        <x:f>'Assumptions'!$G$35</x:f>
        <x:v>5000</x:v>
      </x:c>
      <x:c r="H20" s="173" t="n">
        <x:f>'Assumptions'!$G$35</x:f>
        <x:v>5000</x:v>
      </x:c>
      <x:c r="I20" s="173" t="n">
        <x:f>'Assumptions'!$G$35</x:f>
        <x:v>5000</x:v>
      </x:c>
      <x:c r="J20" s="173" t="n">
        <x:f>'Assumptions'!$G$35</x:f>
        <x:v>5000</x:v>
      </x:c>
      <x:c r="K20" s="173" t="n">
        <x:f>'Assumptions'!$G$35</x:f>
        <x:v>5000</x:v>
      </x:c>
      <x:c r="L20" s="173" t="n">
        <x:f>'Assumptions'!$G$35</x:f>
        <x:v>5000</x:v>
      </x:c>
      <x:c r="M20" s="173" t="n">
        <x:f>'Assumptions'!$G$35</x:f>
        <x:v>5000</x:v>
      </x:c>
      <x:c r="N20" s="173" t="n">
        <x:f>'Assumptions'!$G$35</x:f>
        <x:v>5000</x:v>
      </x:c>
      <x:c r="O20" s="173" t="n">
        <x:f>'Assumptions'!$G$35</x:f>
        <x:v>5000</x:v>
      </x:c>
      <x:c r="P20" s="173" t="n">
        <x:f>'Assumptions'!$G$35</x:f>
        <x:v>5000</x:v>
      </x:c>
      <x:c r="Q20" s="173" t="n">
        <x:f>'Assumptions'!$G$35</x:f>
        <x:v>5000</x:v>
      </x:c>
      <x:c r="R20" s="173" t="n">
        <x:f>'Assumptions'!$G$35</x:f>
        <x:v>5000</x:v>
      </x:c>
      <x:c r="S20" s="173" t="n">
        <x:f>'Assumptions'!$G$35</x:f>
        <x:v>5000</x:v>
      </x:c>
      <x:c r="T20" s="173" t="n">
        <x:f>'Assumptions'!$G$35</x:f>
        <x:v>5000</x:v>
      </x:c>
      <x:c r="U20" s="173" t="n">
        <x:f>'Assumptions'!$G$35</x:f>
        <x:v>5000</x:v>
      </x:c>
      <x:c r="V20" s="173" t="n">
        <x:f>'Assumptions'!$G$35</x:f>
        <x:v>5000</x:v>
      </x:c>
      <x:c r="W20" s="173" t="n">
        <x:f>'Assumptions'!$G$35</x:f>
        <x:v>5000</x:v>
      </x:c>
      <x:c r="X20" s="173" t="n">
        <x:f>'Assumptions'!$G$35</x:f>
        <x:v>5000</x:v>
      </x:c>
      <x:c r="Y20" s="173" t="n">
        <x:f>'Assumptions'!$G$35</x:f>
        <x:v>5000</x:v>
      </x:c>
      <x:c r="Z20" s="173" t="n">
        <x:f>'Assumptions'!$G$35</x:f>
        <x:v>5000</x:v>
      </x:c>
      <x:c r="AA20" s="173" t="n">
        <x:f>'Assumptions'!$G$35</x:f>
        <x:v>5000</x:v>
      </x:c>
      <x:c r="AB20" s="173" t="n">
        <x:f>'Assumptions'!$G$35</x:f>
        <x:v>5000</x:v>
      </x:c>
      <x:c r="AC20" s="173" t="n">
        <x:f>'Assumptions'!$G$35</x:f>
        <x:v>5000</x:v>
      </x:c>
      <x:c r="AD20" s="173" t="n">
        <x:f>'Assumptions'!$G$35</x:f>
        <x:v>5000</x:v>
      </x:c>
      <x:c r="AE20" s="173" t="n">
        <x:f>'Assumptions'!$G$35</x:f>
        <x:v>5000</x:v>
      </x:c>
      <x:c r="AF20" s="173" t="n">
        <x:f>'Assumptions'!$G$35</x:f>
        <x:v>5000</x:v>
      </x:c>
      <x:c r="AG20" s="173" t="n">
        <x:f>'Assumptions'!$G$35</x:f>
        <x:v>5000</x:v>
      </x:c>
      <x:c r="AH20" s="173" t="n">
        <x:f>'Assumptions'!$G$35</x:f>
        <x:v>5000</x:v>
      </x:c>
      <x:c r="AI20" s="173" t="n">
        <x:f>'Assumptions'!$G$35</x:f>
        <x:v>5000</x:v>
      </x:c>
      <x:c r="AJ20" s="173" t="n">
        <x:f>'Assumptions'!$G$35</x:f>
        <x:v>5000</x:v>
      </x:c>
      <x:c r="AK20" s="173" t="n">
        <x:f>'Assumptions'!$G$35</x:f>
        <x:v>5000</x:v>
      </x:c>
    </x:row>
    <x:row r="21">
      <x:c r="A21" s="185" t="str">
        <x:v>Master recording / artist licences</x:v>
      </x:c>
      <x:c r="B21" s="173" t="n">
        <x:f>'Assumptions'!$G$36</x:f>
        <x:v>15000</x:v>
      </x:c>
      <x:c r="C21" s="173" t="n">
        <x:f>'Assumptions'!$G$36</x:f>
        <x:v>15000</x:v>
      </x:c>
      <x:c r="D21" s="173" t="n">
        <x:f>'Assumptions'!$G$36</x:f>
        <x:v>15000</x:v>
      </x:c>
      <x:c r="E21" s="173" t="n">
        <x:f>'Assumptions'!$G$36</x:f>
        <x:v>15000</x:v>
      </x:c>
      <x:c r="F21" s="173" t="n">
        <x:f>'Assumptions'!$G$36</x:f>
        <x:v>15000</x:v>
      </x:c>
      <x:c r="G21" s="173" t="n">
        <x:f>'Assumptions'!$G$36</x:f>
        <x:v>15000</x:v>
      </x:c>
      <x:c r="H21" s="173" t="n">
        <x:f>'Assumptions'!$G$36</x:f>
        <x:v>15000</x:v>
      </x:c>
      <x:c r="I21" s="173" t="n">
        <x:f>'Assumptions'!$G$36</x:f>
        <x:v>15000</x:v>
      </x:c>
      <x:c r="J21" s="173" t="n">
        <x:f>'Assumptions'!$G$36</x:f>
        <x:v>15000</x:v>
      </x:c>
      <x:c r="K21" s="173" t="n">
        <x:f>'Assumptions'!$G$36</x:f>
        <x:v>15000</x:v>
      </x:c>
      <x:c r="L21" s="173" t="n">
        <x:f>'Assumptions'!$G$36</x:f>
        <x:v>15000</x:v>
      </x:c>
      <x:c r="M21" s="173" t="n">
        <x:f>'Assumptions'!$G$36</x:f>
        <x:v>15000</x:v>
      </x:c>
      <x:c r="N21" s="173" t="n">
        <x:f>'Assumptions'!$G$36</x:f>
        <x:v>15000</x:v>
      </x:c>
      <x:c r="O21" s="173" t="n">
        <x:f>'Assumptions'!$G$36</x:f>
        <x:v>15000</x:v>
      </x:c>
      <x:c r="P21" s="173" t="n">
        <x:f>'Assumptions'!$G$36</x:f>
        <x:v>15000</x:v>
      </x:c>
      <x:c r="Q21" s="173" t="n">
        <x:f>'Assumptions'!$G$36</x:f>
        <x:v>15000</x:v>
      </x:c>
      <x:c r="R21" s="173" t="n">
        <x:f>'Assumptions'!$G$36</x:f>
        <x:v>15000</x:v>
      </x:c>
      <x:c r="S21" s="173" t="n">
        <x:f>'Assumptions'!$G$36</x:f>
        <x:v>15000</x:v>
      </x:c>
      <x:c r="T21" s="173" t="n">
        <x:f>'Assumptions'!$G$36</x:f>
        <x:v>15000</x:v>
      </x:c>
      <x:c r="U21" s="173" t="n">
        <x:f>'Assumptions'!$G$36</x:f>
        <x:v>15000</x:v>
      </x:c>
      <x:c r="V21" s="173" t="n">
        <x:f>'Assumptions'!$G$36</x:f>
        <x:v>15000</x:v>
      </x:c>
      <x:c r="W21" s="173" t="n">
        <x:f>'Assumptions'!$G$36</x:f>
        <x:v>15000</x:v>
      </x:c>
      <x:c r="X21" s="173" t="n">
        <x:f>'Assumptions'!$G$36</x:f>
        <x:v>15000</x:v>
      </x:c>
      <x:c r="Y21" s="173" t="n">
        <x:f>'Assumptions'!$G$36</x:f>
        <x:v>15000</x:v>
      </x:c>
      <x:c r="Z21" s="173" t="n">
        <x:f>'Assumptions'!$G$36</x:f>
        <x:v>15000</x:v>
      </x:c>
      <x:c r="AA21" s="173" t="n">
        <x:f>'Assumptions'!$G$36</x:f>
        <x:v>15000</x:v>
      </x:c>
      <x:c r="AB21" s="173" t="n">
        <x:f>'Assumptions'!$G$36</x:f>
        <x:v>15000</x:v>
      </x:c>
      <x:c r="AC21" s="173" t="n">
        <x:f>'Assumptions'!$G$36</x:f>
        <x:v>15000</x:v>
      </x:c>
      <x:c r="AD21" s="173" t="n">
        <x:f>'Assumptions'!$G$36</x:f>
        <x:v>15000</x:v>
      </x:c>
      <x:c r="AE21" s="173" t="n">
        <x:f>'Assumptions'!$G$36</x:f>
        <x:v>15000</x:v>
      </x:c>
      <x:c r="AF21" s="173" t="n">
        <x:f>'Assumptions'!$G$36</x:f>
        <x:v>15000</x:v>
      </x:c>
      <x:c r="AG21" s="173" t="n">
        <x:f>'Assumptions'!$G$36</x:f>
        <x:v>15000</x:v>
      </x:c>
      <x:c r="AH21" s="173" t="n">
        <x:f>'Assumptions'!$G$36</x:f>
        <x:v>15000</x:v>
      </x:c>
      <x:c r="AI21" s="173" t="n">
        <x:f>'Assumptions'!$G$36</x:f>
        <x:v>15000</x:v>
      </x:c>
      <x:c r="AJ21" s="173" t="n">
        <x:f>'Assumptions'!$G$36</x:f>
        <x:v>15000</x:v>
      </x:c>
      <x:c r="AK21" s="173" t="n">
        <x:f>'Assumptions'!$G$36</x:f>
        <x:v>15000</x:v>
      </x:c>
    </x:row>
    <x:row r="22">
      <x:c r="A22" s="185" t="str">
        <x:v>Event catalogue partner licences</x:v>
      </x:c>
      <x:c r="B22" s="173" t="n">
        <x:f>'Assumptions'!$G$37</x:f>
        <x:v>20000</x:v>
      </x:c>
      <x:c r="C22" s="173" t="n">
        <x:f>'Assumptions'!$G$37</x:f>
        <x:v>20000</x:v>
      </x:c>
      <x:c r="D22" s="173" t="n">
        <x:f>'Assumptions'!$G$37</x:f>
        <x:v>20000</x:v>
      </x:c>
      <x:c r="E22" s="173" t="n">
        <x:f>'Assumptions'!$G$37</x:f>
        <x:v>20000</x:v>
      </x:c>
      <x:c r="F22" s="173" t="n">
        <x:f>'Assumptions'!$G$37</x:f>
        <x:v>20000</x:v>
      </x:c>
      <x:c r="G22" s="173" t="n">
        <x:f>'Assumptions'!$G$37</x:f>
        <x:v>20000</x:v>
      </x:c>
      <x:c r="H22" s="173" t="n">
        <x:f>'Assumptions'!$G$37</x:f>
        <x:v>20000</x:v>
      </x:c>
      <x:c r="I22" s="173" t="n">
        <x:f>'Assumptions'!$G$37</x:f>
        <x:v>20000</x:v>
      </x:c>
      <x:c r="J22" s="173" t="n">
        <x:f>'Assumptions'!$G$37</x:f>
        <x:v>20000</x:v>
      </x:c>
      <x:c r="K22" s="173" t="n">
        <x:f>'Assumptions'!$G$37</x:f>
        <x:v>20000</x:v>
      </x:c>
      <x:c r="L22" s="173" t="n">
        <x:f>'Assumptions'!$G$37</x:f>
        <x:v>20000</x:v>
      </x:c>
      <x:c r="M22" s="173" t="n">
        <x:f>'Assumptions'!$G$37</x:f>
        <x:v>20000</x:v>
      </x:c>
      <x:c r="N22" s="173" t="n">
        <x:f>'Assumptions'!$G$37</x:f>
        <x:v>20000</x:v>
      </x:c>
      <x:c r="O22" s="173" t="n">
        <x:f>'Assumptions'!$G$37</x:f>
        <x:v>20000</x:v>
      </x:c>
      <x:c r="P22" s="173" t="n">
        <x:f>'Assumptions'!$G$37</x:f>
        <x:v>20000</x:v>
      </x:c>
      <x:c r="Q22" s="173" t="n">
        <x:f>'Assumptions'!$G$37</x:f>
        <x:v>20000</x:v>
      </x:c>
      <x:c r="R22" s="173" t="n">
        <x:f>'Assumptions'!$G$37</x:f>
        <x:v>20000</x:v>
      </x:c>
      <x:c r="S22" s="173" t="n">
        <x:f>'Assumptions'!$G$37</x:f>
        <x:v>20000</x:v>
      </x:c>
      <x:c r="T22" s="173" t="n">
        <x:f>'Assumptions'!$G$37</x:f>
        <x:v>20000</x:v>
      </x:c>
      <x:c r="U22" s="173" t="n">
        <x:f>'Assumptions'!$G$37</x:f>
        <x:v>20000</x:v>
      </x:c>
      <x:c r="V22" s="173" t="n">
        <x:f>'Assumptions'!$G$37</x:f>
        <x:v>20000</x:v>
      </x:c>
      <x:c r="W22" s="173" t="n">
        <x:f>'Assumptions'!$G$37</x:f>
        <x:v>20000</x:v>
      </x:c>
      <x:c r="X22" s="173" t="n">
        <x:f>'Assumptions'!$G$37</x:f>
        <x:v>20000</x:v>
      </x:c>
      <x:c r="Y22" s="173" t="n">
        <x:f>'Assumptions'!$G$37</x:f>
        <x:v>20000</x:v>
      </x:c>
      <x:c r="Z22" s="173" t="n">
        <x:f>'Assumptions'!$G$37</x:f>
        <x:v>20000</x:v>
      </x:c>
      <x:c r="AA22" s="173" t="n">
        <x:f>'Assumptions'!$G$37</x:f>
        <x:v>20000</x:v>
      </x:c>
      <x:c r="AB22" s="173" t="n">
        <x:f>'Assumptions'!$G$37</x:f>
        <x:v>20000</x:v>
      </x:c>
      <x:c r="AC22" s="173" t="n">
        <x:f>'Assumptions'!$G$37</x:f>
        <x:v>20000</x:v>
      </x:c>
      <x:c r="AD22" s="173" t="n">
        <x:f>'Assumptions'!$G$37</x:f>
        <x:v>20000</x:v>
      </x:c>
      <x:c r="AE22" s="173" t="n">
        <x:f>'Assumptions'!$G$37</x:f>
        <x:v>20000</x:v>
      </x:c>
      <x:c r="AF22" s="173" t="n">
        <x:f>'Assumptions'!$G$37</x:f>
        <x:v>20000</x:v>
      </x:c>
      <x:c r="AG22" s="173" t="n">
        <x:f>'Assumptions'!$G$37</x:f>
        <x:v>20000</x:v>
      </x:c>
      <x:c r="AH22" s="173" t="n">
        <x:f>'Assumptions'!$G$37</x:f>
        <x:v>20000</x:v>
      </x:c>
      <x:c r="AI22" s="173" t="n">
        <x:f>'Assumptions'!$G$37</x:f>
        <x:v>20000</x:v>
      </x:c>
      <x:c r="AJ22" s="173" t="n">
        <x:f>'Assumptions'!$G$37</x:f>
        <x:v>20000</x:v>
      </x:c>
      <x:c r="AK22" s="173" t="n">
        <x:f>'Assumptions'!$G$37</x:f>
        <x:v>20000</x:v>
      </x:c>
    </x:row>
    <x:row r="23">
      <x:c r="A23" s="185" t="str">
        <x:v>Fashion-house content licences</x:v>
      </x:c>
      <x:c r="B23" s="173" t="n">
        <x:f>'Assumptions'!$G$38</x:f>
        <x:v>10000</x:v>
      </x:c>
      <x:c r="C23" s="173" t="n">
        <x:f>'Assumptions'!$G$38</x:f>
        <x:v>10000</x:v>
      </x:c>
      <x:c r="D23" s="173" t="n">
        <x:f>'Assumptions'!$G$38</x:f>
        <x:v>10000</x:v>
      </x:c>
      <x:c r="E23" s="173" t="n">
        <x:f>'Assumptions'!$G$38</x:f>
        <x:v>10000</x:v>
      </x:c>
      <x:c r="F23" s="173" t="n">
        <x:f>'Assumptions'!$G$38</x:f>
        <x:v>10000</x:v>
      </x:c>
      <x:c r="G23" s="173" t="n">
        <x:f>'Assumptions'!$G$38</x:f>
        <x:v>10000</x:v>
      </x:c>
      <x:c r="H23" s="173" t="n">
        <x:f>'Assumptions'!$G$38</x:f>
        <x:v>10000</x:v>
      </x:c>
      <x:c r="I23" s="173" t="n">
        <x:f>'Assumptions'!$G$38</x:f>
        <x:v>10000</x:v>
      </x:c>
      <x:c r="J23" s="173" t="n">
        <x:f>'Assumptions'!$G$38</x:f>
        <x:v>10000</x:v>
      </x:c>
      <x:c r="K23" s="173" t="n">
        <x:f>'Assumptions'!$G$38</x:f>
        <x:v>10000</x:v>
      </x:c>
      <x:c r="L23" s="173" t="n">
        <x:f>'Assumptions'!$G$38</x:f>
        <x:v>10000</x:v>
      </x:c>
      <x:c r="M23" s="173" t="n">
        <x:f>'Assumptions'!$G$38</x:f>
        <x:v>10000</x:v>
      </x:c>
      <x:c r="N23" s="173" t="n">
        <x:f>'Assumptions'!$G$38</x:f>
        <x:v>10000</x:v>
      </x:c>
      <x:c r="O23" s="173" t="n">
        <x:f>'Assumptions'!$G$38</x:f>
        <x:v>10000</x:v>
      </x:c>
      <x:c r="P23" s="173" t="n">
        <x:f>'Assumptions'!$G$38</x:f>
        <x:v>10000</x:v>
      </x:c>
      <x:c r="Q23" s="173" t="n">
        <x:f>'Assumptions'!$G$38</x:f>
        <x:v>10000</x:v>
      </x:c>
      <x:c r="R23" s="173" t="n">
        <x:f>'Assumptions'!$G$38</x:f>
        <x:v>10000</x:v>
      </x:c>
      <x:c r="S23" s="173" t="n">
        <x:f>'Assumptions'!$G$38</x:f>
        <x:v>10000</x:v>
      </x:c>
      <x:c r="T23" s="173" t="n">
        <x:f>'Assumptions'!$G$38</x:f>
        <x:v>10000</x:v>
      </x:c>
      <x:c r="U23" s="173" t="n">
        <x:f>'Assumptions'!$G$38</x:f>
        <x:v>10000</x:v>
      </x:c>
      <x:c r="V23" s="173" t="n">
        <x:f>'Assumptions'!$G$38</x:f>
        <x:v>10000</x:v>
      </x:c>
      <x:c r="W23" s="173" t="n">
        <x:f>'Assumptions'!$G$38</x:f>
        <x:v>10000</x:v>
      </x:c>
      <x:c r="X23" s="173" t="n">
        <x:f>'Assumptions'!$G$38</x:f>
        <x:v>10000</x:v>
      </x:c>
      <x:c r="Y23" s="173" t="n">
        <x:f>'Assumptions'!$G$38</x:f>
        <x:v>10000</x:v>
      </x:c>
      <x:c r="Z23" s="173" t="n">
        <x:f>'Assumptions'!$G$38</x:f>
        <x:v>10000</x:v>
      </x:c>
      <x:c r="AA23" s="173" t="n">
        <x:f>'Assumptions'!$G$38</x:f>
        <x:v>10000</x:v>
      </x:c>
      <x:c r="AB23" s="173" t="n">
        <x:f>'Assumptions'!$G$38</x:f>
        <x:v>10000</x:v>
      </x:c>
      <x:c r="AC23" s="173" t="n">
        <x:f>'Assumptions'!$G$38</x:f>
        <x:v>10000</x:v>
      </x:c>
      <x:c r="AD23" s="173" t="n">
        <x:f>'Assumptions'!$G$38</x:f>
        <x:v>10000</x:v>
      </x:c>
      <x:c r="AE23" s="173" t="n">
        <x:f>'Assumptions'!$G$38</x:f>
        <x:v>10000</x:v>
      </x:c>
      <x:c r="AF23" s="173" t="n">
        <x:f>'Assumptions'!$G$38</x:f>
        <x:v>10000</x:v>
      </x:c>
      <x:c r="AG23" s="173" t="n">
        <x:f>'Assumptions'!$G$38</x:f>
        <x:v>10000</x:v>
      </x:c>
      <x:c r="AH23" s="173" t="n">
        <x:f>'Assumptions'!$G$38</x:f>
        <x:v>10000</x:v>
      </x:c>
      <x:c r="AI23" s="173" t="n">
        <x:f>'Assumptions'!$G$38</x:f>
        <x:v>10000</x:v>
      </x:c>
      <x:c r="AJ23" s="173" t="n">
        <x:f>'Assumptions'!$G$38</x:f>
        <x:v>10000</x:v>
      </x:c>
      <x:c r="AK23" s="173" t="n">
        <x:f>'Assumptions'!$G$38</x:f>
        <x:v>10000</x:v>
      </x:c>
    </x:row>
    <x:row r="24">
      <x:c r="A24" s="185" t="str">
        <x:v>Payment processing / collection</x:v>
      </x:c>
      <x:c r="B24" s="173" t="n">
        <x:f>B12*'Assumptions'!$G$33</x:f>
        <x:v>718.275</x:v>
      </x:c>
      <x:c r="C24" s="173" t="n">
        <x:f>C12*'Assumptions'!$G$33</x:f>
        <x:v>726.06375</x:v>
      </x:c>
      <x:c r="D24" s="173" t="n">
        <x:f>D12*'Assumptions'!$G$33</x:f>
        <x:v>734.2419375000001</x:v>
      </x:c>
      <x:c r="E24" s="173" t="n">
        <x:f>E12*'Assumptions'!$G$33</x:f>
        <x:v>742.8290343750001</x:v>
      </x:c>
      <x:c r="F24" s="173" t="n">
        <x:f>F12*'Assumptions'!$G$33</x:f>
        <x:v>751.84548609375</x:v>
      </x:c>
      <x:c r="G24" s="173" t="n">
        <x:f>G12*'Assumptions'!$G$33</x:f>
        <x:v>761.3127603984377</x:v>
      </x:c>
      <x:c r="H24" s="173" t="n">
        <x:f>H12*'Assumptions'!$G$33</x:f>
        <x:v>771.2533984183594</x:v>
      </x:c>
      <x:c r="I24" s="173" t="n">
        <x:f>I12*'Assumptions'!$G$33</x:f>
        <x:v>781.6910683392774</x:v>
      </x:c>
      <x:c r="J24" s="173" t="n">
        <x:f>J12*'Assumptions'!$G$33</x:f>
        <x:v>792.6506217562413</x:v>
      </x:c>
      <x:c r="K24" s="173" t="n">
        <x:f>K12*'Assumptions'!$G$33</x:f>
        <x:v>804.1581528440532</x:v>
      </x:c>
      <x:c r="L24" s="173" t="n">
        <x:f>L12*'Assumptions'!$G$33</x:f>
        <x:v>816.2410604862562</x:v>
      </x:c>
      <x:c r="M24" s="173" t="n">
        <x:f>M12*'Assumptions'!$G$33</x:f>
        <x:v>828.9281135105688</x:v>
      </x:c>
      <x:c r="N24" s="173" t="n">
        <x:f>N12*'Assumptions'!$G$33</x:f>
        <x:v>842.2495191860974</x:v>
      </x:c>
      <x:c r="O24" s="173" t="n">
        <x:f>O12*'Assumptions'!$G$33</x:f>
        <x:v>856.2369951454021</x:v>
      </x:c>
      <x:c r="P24" s="173" t="n">
        <x:f>P12*'Assumptions'!$G$33</x:f>
        <x:v>870.9238449026723</x:v>
      </x:c>
      <x:c r="Q24" s="173" t="n">
        <x:f>Q12*'Assumptions'!$G$33</x:f>
        <x:v>886.345037147806</x:v>
      </x:c>
      <x:c r="R24" s="173" t="n">
        <x:f>R12*'Assumptions'!$G$33</x:f>
        <x:v>902.5372890051964</x:v>
      </x:c>
      <x:c r="S24" s="173" t="n">
        <x:f>S12*'Assumptions'!$G$33</x:f>
        <x:v>919.5391534554561</x:v>
      </x:c>
      <x:c r="T24" s="173" t="n">
        <x:f>T12*'Assumptions'!$G$33</x:f>
        <x:v>937.391111128229</x:v>
      </x:c>
      <x:c r="U24" s="173" t="n">
        <x:f>U12*'Assumptions'!$G$33</x:f>
        <x:v>956.1356666846403</x:v>
      </x:c>
      <x:c r="V24" s="173" t="n">
        <x:f>V12*'Assumptions'!$G$33</x:f>
        <x:v>975.8174500188724</x:v>
      </x:c>
      <x:c r="W24" s="173" t="n">
        <x:f>W12*'Assumptions'!$G$33</x:f>
        <x:v>996.483322519816</x:v>
      </x:c>
      <x:c r="X24" s="173" t="n">
        <x:f>X12*'Assumptions'!$G$33</x:f>
        <x:v>1018.1824886458069</x:v>
      </x:c>
      <x:c r="Y24" s="173" t="n">
        <x:f>Y12*'Assumptions'!$G$33</x:f>
        <x:v>1040.9666130780972</x:v>
      </x:c>
      <x:c r="Z24" s="173" t="n">
        <x:f>Z12*'Assumptions'!$G$33</x:f>
        <x:v>1064.8899437320022</x:v>
      </x:c>
      <x:c r="AA24" s="173" t="n">
        <x:f>AA12*'Assumptions'!$G$33</x:f>
        <x:v>1090.0094409186022</x:v>
      </x:c>
      <x:c r="AB24" s="173" t="n">
        <x:f>AB12*'Assumptions'!$G$33</x:f>
        <x:v>1116.3849129645323</x:v>
      </x:c>
      <x:c r="AC24" s="173" t="n">
        <x:f>AC12*'Assumptions'!$G$33</x:f>
        <x:v>1144.0791586127589</x:v>
      </x:c>
      <x:c r="AD24" s="173" t="n">
        <x:f>AD12*'Assumptions'!$G$33</x:f>
        <x:v>1173.158116543397</x:v>
      </x:c>
      <x:c r="AE24" s="173" t="n">
        <x:f>AE12*'Assumptions'!$G$33</x:f>
        <x:v>1203.6910223705668</x:v>
      </x:c>
      <x:c r="AF24" s="173" t="n">
        <x:f>AF12*'Assumptions'!$G$33</x:f>
        <x:v>1235.7505734890951</x:v>
      </x:c>
      <x:c r="AG24" s="173" t="n">
        <x:f>AG12*'Assumptions'!$G$33</x:f>
        <x:v>1269.4131021635499</x:v>
      </x:c>
      <x:c r="AH24" s="173" t="n">
        <x:f>AH12*'Assumptions'!$G$33</x:f>
        <x:v>1304.7587572717273</x:v>
      </x:c>
      <x:c r="AI24" s="173" t="n">
        <x:f>AI12*'Assumptions'!$G$33</x:f>
        <x:v>1341.8716951353138</x:v>
      </x:c>
      <x:c r="AJ24" s="173" t="n">
        <x:f>AJ12*'Assumptions'!$G$33</x:f>
        <x:v>1380.8402798920793</x:v>
      </x:c>
      <x:c r="AK24" s="173" t="n">
        <x:f>AK12*'Assumptions'!$G$33</x:f>
        <x:v>1421.7572938866836</x:v>
      </x:c>
    </x:row>
    <x:row r="25">
      <x:c r="A25" s="186" t="str">
        <x:v>Total cost of revenue</x:v>
      </x:c>
      <x:c r="B25" s="179" t="n">
        <x:f>SUM(B15:B24)</x:f>
        <x:v>51929.33207338006</x:v>
      </x:c>
      <x:c r="C25" s="179" t="n">
        <x:f>SUM(C15:C24)</x:f>
        <x:v>51994.80570394079</x:v>
      </x:c>
      <x:c r="D25" s="179" t="n">
        <x:f>SUM(D15:D24)</x:f>
        <x:v>52063.55301602954</x:v>
      </x:c>
      <x:c r="E25" s="179" t="n">
        <x:f>SUM(E15:E24)</x:f>
        <x:v>52135.73769372273</x:v>
      </x:c>
      <x:c r="F25" s="179" t="n">
        <x:f>SUM(F15:F24)</x:f>
        <x:v>52211.53160530059</x:v>
      </x:c>
      <x:c r="G25" s="179" t="n">
        <x:f>SUM(G15:G24)</x:f>
        <x:v>52291.115212457335</x:v>
      </x:c>
      <x:c r="H25" s="179" t="n">
        <x:f>SUM(H15:H24)</x:f>
        <x:v>52374.67799997192</x:v>
      </x:c>
      <x:c r="I25" s="179" t="n">
        <x:f>SUM(I15:I24)</x:f>
        <x:v>52462.418926862236</x:v>
      </x:c>
      <x:c r="J25" s="179" t="n">
        <x:f>SUM(J15:J24)</x:f>
        <x:v>52554.54690009706</x:v>
      </x:c>
      <x:c r="K25" s="179" t="n">
        <x:f>SUM(K15:K24)</x:f>
        <x:v>52651.281271993634</x:v>
      </x:c>
      <x:c r="L25" s="179" t="n">
        <x:f>SUM(L15:L24)</x:f>
        <x:v>52752.852362485035</x:v>
      </x:c>
      <x:c r="M25" s="179" t="n">
        <x:f>SUM(M15:M24)</x:f>
        <x:v>52859.502007501</x:v>
      </x:c>
      <x:c r="N25" s="179" t="n">
        <x:f>SUM(N15:N24)</x:f>
        <x:v>52971.48413476777</x:v>
      </x:c>
      <x:c r="O25" s="179" t="n">
        <x:f>SUM(O15:O24)</x:f>
        <x:v>53089.065368397874</x:v>
      </x:c>
      <x:c r="P25" s="179" t="n">
        <x:f>SUM(P15:P24)</x:f>
        <x:v>53212.52566370949</x:v>
      </x:c>
      <x:c r="Q25" s="179" t="n">
        <x:f>SUM(Q15:Q24)</x:f>
        <x:v>53342.15897378668</x:v>
      </x:c>
      <x:c r="R25" s="179" t="n">
        <x:f>SUM(R15:R24)</x:f>
        <x:v>53478.273949367736</x:v>
      </x:c>
      <x:c r="S25" s="179" t="n">
        <x:f>SUM(S15:S24)</x:f>
        <x:v>53621.19467372784</x:v>
      </x:c>
      <x:c r="T25" s="179" t="n">
        <x:f>SUM(T15:T24)</x:f>
        <x:v>53771.26143430595</x:v>
      </x:c>
      <x:c r="U25" s="179" t="n">
        <x:f>SUM(U15:U24)</x:f>
        <x:v>53928.83153291297</x:v>
      </x:c>
      <x:c r="V25" s="179" t="n">
        <x:f>SUM(V15:V24)</x:f>
        <x:v>54094.28013645033</x:v>
      </x:c>
      <x:c r="W25" s="179" t="n">
        <x:f>SUM(W15:W24)</x:f>
        <x:v>54268.00117016456</x:v>
      </x:c>
      <x:c r="X25" s="179" t="n">
        <x:f>SUM(X15:X24)</x:f>
        <x:v>54450.408255564515</x:v>
      </x:c>
      <x:c r="Y25" s="179" t="n">
        <x:f>SUM(Y15:Y24)</x:f>
        <x:v>54641.93569523445</x:v>
      </x:c>
      <x:c r="Z25" s="179" t="n">
        <x:f>SUM(Z15:Z24)</x:f>
        <x:v>54843.03950688789</x:v>
      </x:c>
      <x:c r="AA25" s="179" t="n">
        <x:f>SUM(AA15:AA24)</x:f>
        <x:v>55054.198509124006</x:v>
      </x:c>
      <x:c r="AB25" s="179" t="n">
        <x:f>SUM(AB15:AB24)</x:f>
        <x:v>55275.91546147193</x:v>
      </x:c>
      <x:c r="AC25" s="179" t="n">
        <x:f>SUM(AC15:AC24)</x:f>
        <x:v>55508.71826143724</x:v>
      </x:c>
      <x:c r="AD25" s="179" t="n">
        <x:f>SUM(AD15:AD24)</x:f>
        <x:v>55753.16120140082</x:v>
      </x:c>
      <x:c r="AE25" s="179" t="n">
        <x:f>SUM(AE15:AE24)</x:f>
        <x:v>56009.82628836258</x:v>
      </x:c>
      <x:c r="AF25" s="179" t="n">
        <x:f>SUM(AF15:AF24)</x:f>
        <x:v>56279.32462967243</x:v>
      </x:c>
      <x:c r="AG25" s="179" t="n">
        <x:f>SUM(AG15:AG24)</x:f>
        <x:v>56562.29788804777</x:v>
      </x:c>
      <x:c r="AH25" s="179" t="n">
        <x:f>SUM(AH15:AH24)</x:f>
        <x:v>56859.419809341874</x:v>
      </x:c>
      <x:c r="AI25" s="179" t="n">
        <x:f>SUM(AI15:AI24)</x:f>
        <x:v>57171.39782670069</x:v>
      </x:c>
      <x:c r="AJ25" s="179" t="n">
        <x:f>SUM(AJ15:AJ24)</x:f>
        <x:v>57498.97474492744</x:v>
      </x:c>
      <x:c r="AK25" s="179" t="n">
        <x:f>SUM(AK15:AK24)</x:f>
        <x:v>57842.93050906553</x:v>
      </x:c>
    </x:row>
    <x:row r="26">
      <x:c r="A26" s="186" t="str">
        <x:v>Gross profit</x:v>
      </x:c>
      <x:c r="B26" s="179" t="n">
        <x:f>B12-B25</x:f>
        <x:v>91725.66792661994</x:v>
      </x:c>
      <x:c r="C26" s="179" t="n">
        <x:f>C12-C25</x:f>
        <x:v>93217.94429605921</x:v>
      </x:c>
      <x:c r="D26" s="179" t="n">
        <x:f>D12-D25</x:f>
        <x:v>94784.83448397048</x:v>
      </x:c>
      <x:c r="E26" s="179" t="n">
        <x:f>E12-E25</x:f>
        <x:v>96430.06918127727</x:v>
      </x:c>
      <x:c r="F26" s="179" t="n">
        <x:f>F12-F25</x:f>
        <x:v>98157.5656134494</x:v>
      </x:c>
      <x:c r="G26" s="179" t="n">
        <x:f>G12-G25</x:f>
        <x:v>99971.4368672302</x:v>
      </x:c>
      <x:c r="H26" s="179" t="n">
        <x:f>H12-H25</x:f>
        <x:v>101876.00168369996</x:v>
      </x:c>
      <x:c r="I26" s="179" t="n">
        <x:f>I12-I25</x:f>
        <x:v>103875.79474099324</x:v>
      </x:c>
      <x:c r="J26" s="179" t="n">
        <x:f>J12-J25</x:f>
        <x:v>105975.5774511512</x:v>
      </x:c>
      <x:c r="K26" s="179" t="n">
        <x:f>K12-K25</x:f>
        <x:v>108180.34929681702</x:v>
      </x:c>
      <x:c r="L26" s="179" t="n">
        <x:f>L12-L25</x:f>
        <x:v>110495.3597347662</x:v>
      </x:c>
      <x:c r="M26" s="179" t="n">
        <x:f>M12-M25</x:f>
        <x:v>112926.12069461276</x:v>
      </x:c>
      <x:c r="N26" s="179" t="n">
        <x:f>N12-N25</x:f>
        <x:v>115478.41970245169</x:v>
      </x:c>
      <x:c r="O26" s="179" t="n">
        <x:f>O12-O25</x:f>
        <x:v>118158.33366068256</x:v>
      </x:c>
      <x:c r="P26" s="179" t="n">
        <x:f>P12-P25</x:f>
        <x:v>120972.24331682496</x:v>
      </x:c>
      <x:c r="Q26" s="179" t="n">
        <x:f>Q12-Q25</x:f>
        <x:v>123926.84845577451</x:v>
      </x:c>
      <x:c r="R26" s="179" t="n">
        <x:f>R12-R25</x:f>
        <x:v>127029.18385167154</x:v>
      </x:c>
      <x:c r="S26" s="179" t="n">
        <x:f>S12-S25</x:f>
        <x:v>130286.63601736337</x:v>
      </x:c>
      <x:c r="T26" s="179" t="n">
        <x:f>T12-T25</x:f>
        <x:v>133706.96079133984</x:v>
      </x:c>
      <x:c r="U26" s="179" t="n">
        <x:f>U12-U25</x:f>
        <x:v>137298.3018040151</x:v>
      </x:c>
      <x:c r="V26" s="179" t="n">
        <x:f>V12-V25</x:f>
        <x:v>141069.20986732413</x:v>
      </x:c>
      <x:c r="W26" s="179" t="n">
        <x:f>W12-W25</x:f>
        <x:v>145028.66333379864</x:v>
      </x:c>
      <x:c r="X26" s="179" t="n">
        <x:f>X12-X25</x:f>
        <x:v>149186.08947359686</x:v>
      </x:c>
      <x:c r="Y26" s="179" t="n">
        <x:f>Y12-Y25</x:f>
        <x:v>153551.386920385</x:v>
      </x:c>
      <x:c r="Z26" s="179" t="n">
        <x:f>Z12-Z25</x:f>
        <x:v>158134.94923951253</x:v>
      </x:c>
      <x:c r="AA26" s="179" t="n">
        <x:f>AA12-AA25</x:f>
        <x:v>162947.68967459642</x:v>
      </x:c>
      <x:c r="AB26" s="179" t="n">
        <x:f>AB12-AB25</x:f>
        <x:v>168001.0671314345</x:v>
      </x:c>
      <x:c r="AC26" s="179" t="n">
        <x:f>AC12-AC25</x:f>
        <x:v>173307.11346111452</x:v>
      </x:c>
      <x:c r="AD26" s="179" t="n">
        <x:f>AD12-AD25</x:f>
        <x:v>178878.46210727858</x:v>
      </x:c>
      <x:c r="AE26" s="179" t="n">
        <x:f>AE12-AE25</x:f>
        <x:v>184728.37818575077</x:v>
      </x:c>
      <x:c r="AF26" s="179" t="n">
        <x:f>AF12-AF25</x:f>
        <x:v>190870.7900681466</x:v>
      </x:c>
      <x:c r="AG26" s="179" t="n">
        <x:f>AG12-AG25</x:f>
        <x:v>197320.3225446622</x:v>
      </x:c>
      <x:c r="AH26" s="179" t="n">
        <x:f>AH12-AH25</x:f>
        <x:v>204092.3316450036</x:v>
      </x:c>
      <x:c r="AI26" s="179" t="n">
        <x:f>AI12-AI25</x:f>
        <x:v>211202.94120036205</x:v>
      </x:c>
      <x:c r="AJ26" s="179" t="n">
        <x:f>AJ12-AJ25</x:f>
        <x:v>218669.0812334884</x:v>
      </x:c>
      <x:c r="AK26" s="179" t="n">
        <x:f>AK12-AK25</x:f>
        <x:v>226508.52826827115</x:v>
      </x:c>
    </x:row>
    <x:row r="27">
      <x:c r="A27" s="185" t="str">
        <x:v>Gross margin</x:v>
      </x:c>
      <x:c r="B27" s="175" t="n">
        <x:f>IF(B12=0,0,B26/B12)</x:f>
        <x:v>0.6385135771579126</x:v>
      </x:c>
      <x:c r="C27" s="175" t="n">
        <x:f>IF(C12=0,0,C26/C12)</x:f>
        <x:v>0.6419404928014876</x:v>
      </x:c>
      <x:c r="D27" s="175" t="n">
        <x:f>IF(D12=0,0,D26/D12)</x:f>
        <x:v>0.6454605058838012</x:v>
      </x:c>
      <x:c r="E27" s="175" t="n">
        <x:f>IF(E12=0,0,E26/E12)</x:f>
        <x:v>0.6490731024158971</x:v>
      </x:c>
      <x:c r="F27" s="175" t="n">
        <x:f>IF(F12=0,0,F26/F12)</x:f>
        <x:v>0.6527775149880319</x:v>
      </x:c>
      <x:c r="G27" s="175" t="n">
        <x:f>IF(G12=0,0,G26/G12)</x:f>
        <x:v>0.6565727127370723</x:v>
      </x:c>
      <x:c r="H27" s="175" t="n">
        <x:f>IF(H12=0,0,H26/H12)</x:f>
        <x:v>0.660457392425247</x:v>
      </x:c>
      <x:c r="I27" s="175" t="n">
        <x:f>IF(I12=0,0,I26/I12)</x:f>
        <x:v>0.664429970791914</x:v>
      </x:c>
      <x:c r="J27" s="175" t="n">
        <x:f>IF(J12=0,0,J26/J12)</x:f>
        <x:v>0.6684885783369837</x:v>
      </x:c>
      <x:c r="K27" s="175" t="n">
        <x:f>IF(K12=0,0,K26/K12)</x:f>
        <x:v>0.6726310546887905</x:v>
      </x:c>
      <x:c r="L27" s="175" t="n">
        <x:f>IF(L12=0,0,L26/L12)</x:f>
        <x:v>0.6768549457003622</x:v>
      </x:c>
      <x:c r="M27" s="175" t="n">
        <x:f>IF(M12=0,0,M26/M12)</x:f>
        <x:v>0.6811575024061056</x:v>
      </x:c>
      <x:c r="N27" s="175" t="n">
        <x:f>IF(N12=0,0,N26/N12)</x:f>
        <x:v>0.6855356819558862</x:v>
      </x:c>
      <x:c r="O27" s="175" t="n">
        <x:f>IF(O12=0,0,O26/O12)</x:f>
        <x:v>0.6899861506253737</x:v>
      </x:c>
      <x:c r="P27" s="175" t="n">
        <x:f>IF(P12=0,0,P26/P12)</x:f>
        <x:v>0.6945052889804841</x:v>
      </x:c>
      <x:c r="Q27" s="175" t="n">
        <x:f>IF(Q12=0,0,Q26/Q12)</x:f>
        <x:v>0.6990891992500016</x:v>
      </x:c>
      <x:c r="R27" s="175" t="n">
        <x:f>IF(R12=0,0,R26/R12)</x:f>
        <x:v>0.7037337149342988</x:v>
      </x:c>
      <x:c r="S27" s="175" t="n">
        <x:f>IF(S12=0,0,S26/S12)</x:f>
        <x:v>0.7084344126499158</x:v>
      </x:c>
      <x:c r="T27" s="175" t="n">
        <x:f>IF(T12=0,0,T26/T12)</x:f>
        <x:v>0.7131866261800386</x:v>
      </x:c>
      <x:c r="U27" s="175" t="n">
        <x:f>IF(U12=0,0,U26/U12)</x:f>
        <x:v>0.717985462670225</x:v>
      </x:c>
      <x:c r="V27" s="175" t="n">
        <x:f>IF(V12=0,0,V26/V12)</x:f>
        <x:v>0.7228258208776439</x:v>
      </x:c>
      <x:c r="W27" s="175" t="n">
        <x:f>IF(W12=0,0,W26/W12)</x:f>
        <x:v>0.7277024113512678</x:v>
      </x:c>
      <x:c r="X27" s="175" t="n">
        <x:f>IF(X12=0,0,X26/X12)</x:f>
        <x:v>0.7326097783905903</x:v>
      </x:c>
      <x:c r="Y27" s="175" t="n">
        <x:f>IF(Y12=0,0,Y26/Y12)</x:f>
        <x:v>0.7375423236021932</x:v>
      </x:c>
      <x:c r="Z27" s="175" t="n">
        <x:f>IF(Z12=0,0,Z26/Z12)</x:f>
        <x:v>0.7424943308475355</x:v>
      </x:c>
      <x:c r="AA27" s="175" t="n">
        <x:f>IF(AA12=0,0,AA26/AA12)</x:f>
        <x:v>0.7474599923523265</x:v>
      </x:c>
      <x:c r="AB27" s="175" t="n">
        <x:f>IF(AB12=0,0,AB26/AB12)</x:f>
        <x:v>0.7524334357283272</x:v>
      </x:c>
      <x:c r="AC27" s="175" t="n">
        <x:f>IF(AC12=0,0,AC26/AC12)</x:f>
        <x:v>0.7574087516429205</x:v>
      </x:c>
      <x:c r="AD27" s="175" t="n">
        <x:f>IF(AD12=0,0,AD26/AD12)</x:f>
        <x:v>0.7623800218606831</x:v>
      </x:c>
      <x:c r="AE27" s="175" t="n">
        <x:f>IF(AE12=0,0,AE26/AE12)</x:f>
        <x:v>0.7673413473747772</x:v>
      </x:c>
      <x:c r="AF27" s="175" t="n">
        <x:f>IF(AF12=0,0,AF26/AF12)</x:f>
        <x:v>0.7722868763444314</x:v>
      </x:c>
      <x:c r="AG27" s="175" t="n">
        <x:f>IF(AG12=0,0,AG26/AG12)</x:f>
        <x:v>0.7772108315581245</x:v>
      </x:c>
      <x:c r="AH27" s="175" t="n">
        <x:f>IF(AH12=0,0,AH26/AH12)</x:f>
        <x:v>0.7821075371502549</x:v>
      </x:c>
      <x:c r="AI27" s="175" t="n">
        <x:f>IF(AI12=0,0,AI26/AI12)</x:f>
        <x:v>0.7869714443118365</x:v>
      </x:c>
      <x:c r="AJ27" s="175" t="n">
        <x:f>IF(AJ12=0,0,AJ26/AJ12)</x:f>
        <x:v>0.7917971557527953</x:v>
      </x:c>
      <x:c r="AK27" s="175" t="n">
        <x:f>IF(AK12=0,0,AK26/AK12)</x:f>
        <x:v>0.7965794486943011</x:v>
      </x:c>
    </x:row>
    <x:row r="28">
      <x:c r="A28" s="185"/>
      <x:c r="B28" s="173"/>
      <x:c r="C28" s="173"/>
      <x:c r="D28" s="173"/>
      <x:c r="E28" s="173"/>
      <x:c r="F28" s="173"/>
      <x:c r="G28" s="173"/>
      <x:c r="H28" s="173"/>
      <x:c r="I28" s="173"/>
      <x:c r="J28" s="173"/>
      <x:c r="K28" s="173"/>
      <x:c r="L28" s="173"/>
      <x:c r="M28" s="173"/>
      <x:c r="N28" s="173"/>
      <x:c r="O28" s="173"/>
      <x:c r="P28" s="173"/>
      <x:c r="Q28" s="173"/>
      <x:c r="R28" s="173"/>
      <x:c r="S28" s="173"/>
      <x:c r="T28" s="173"/>
      <x:c r="U28" s="173"/>
      <x:c r="V28" s="173"/>
      <x:c r="W28" s="173"/>
      <x:c r="X28" s="173"/>
      <x:c r="Y28" s="173"/>
      <x:c r="Z28" s="173"/>
      <x:c r="AA28" s="173"/>
      <x:c r="AB28" s="173"/>
      <x:c r="AC28" s="173"/>
      <x:c r="AD28" s="173"/>
      <x:c r="AE28" s="173"/>
      <x:c r="AF28" s="173"/>
      <x:c r="AG28" s="173"/>
      <x:c r="AH28" s="173"/>
      <x:c r="AI28" s="173"/>
      <x:c r="AJ28" s="173"/>
      <x:c r="AK28" s="173"/>
    </x:row>
    <x:row r="29" ht="24" customHeight="1">
      <x:c r="A29" s="187" t="str">
        <x:v>OPERATING EXPENSES</x:v>
      </x:c>
      <x:c r="B29" s="174" t="str">
        <x:v>OPERATING EXPENSES</x:v>
      </x:c>
      <x:c r="C29" s="174" t="str">
        <x:v>OPERATING EXPENSES</x:v>
      </x:c>
      <x:c r="D29" s="174" t="str">
        <x:v>OPERATING EXPENSES</x:v>
      </x:c>
      <x:c r="E29" s="174" t="str">
        <x:v>OPERATING EXPENSES</x:v>
      </x:c>
      <x:c r="F29" s="174" t="str">
        <x:v>OPERATING EXPENSES</x:v>
      </x:c>
      <x:c r="G29" s="174" t="str">
        <x:v>OPERATING EXPENSES</x:v>
      </x:c>
      <x:c r="H29" s="174" t="str">
        <x:v>OPERATING EXPENSES</x:v>
      </x:c>
      <x:c r="I29" s="174" t="str">
        <x:v>OPERATING EXPENSES</x:v>
      </x:c>
      <x:c r="J29" s="174" t="str">
        <x:v>OPERATING EXPENSES</x:v>
      </x:c>
      <x:c r="K29" s="174" t="str">
        <x:v>OPERATING EXPENSES</x:v>
      </x:c>
      <x:c r="L29" s="174" t="str">
        <x:v>OPERATING EXPENSES</x:v>
      </x:c>
      <x:c r="M29" s="174" t="str">
        <x:v>OPERATING EXPENSES</x:v>
      </x:c>
      <x:c r="N29" s="174" t="str">
        <x:v>OPERATING EXPENSES</x:v>
      </x:c>
      <x:c r="O29" s="174" t="str">
        <x:v>OPERATING EXPENSES</x:v>
      </x:c>
      <x:c r="P29" s="174" t="str">
        <x:v>OPERATING EXPENSES</x:v>
      </x:c>
      <x:c r="Q29" s="174" t="str">
        <x:v>OPERATING EXPENSES</x:v>
      </x:c>
      <x:c r="R29" s="174" t="str">
        <x:v>OPERATING EXPENSES</x:v>
      </x:c>
      <x:c r="S29" s="174" t="str">
        <x:v>OPERATING EXPENSES</x:v>
      </x:c>
      <x:c r="T29" s="174" t="str">
        <x:v>OPERATING EXPENSES</x:v>
      </x:c>
      <x:c r="U29" s="174" t="str">
        <x:v>OPERATING EXPENSES</x:v>
      </x:c>
      <x:c r="V29" s="174" t="str">
        <x:v>OPERATING EXPENSES</x:v>
      </x:c>
      <x:c r="W29" s="174" t="str">
        <x:v>OPERATING EXPENSES</x:v>
      </x:c>
      <x:c r="X29" s="174" t="str">
        <x:v>OPERATING EXPENSES</x:v>
      </x:c>
      <x:c r="Y29" s="174" t="str">
        <x:v>OPERATING EXPENSES</x:v>
      </x:c>
      <x:c r="Z29" s="174" t="str">
        <x:v>OPERATING EXPENSES</x:v>
      </x:c>
      <x:c r="AA29" s="174" t="str">
        <x:v>OPERATING EXPENSES</x:v>
      </x:c>
      <x:c r="AB29" s="174" t="str">
        <x:v>OPERATING EXPENSES</x:v>
      </x:c>
      <x:c r="AC29" s="174" t="str">
        <x:v>OPERATING EXPENSES</x:v>
      </x:c>
      <x:c r="AD29" s="174" t="str">
        <x:v>OPERATING EXPENSES</x:v>
      </x:c>
      <x:c r="AE29" s="174" t="str">
        <x:v>OPERATING EXPENSES</x:v>
      </x:c>
      <x:c r="AF29" s="174" t="str">
        <x:v>OPERATING EXPENSES</x:v>
      </x:c>
      <x:c r="AG29" s="174" t="str">
        <x:v>OPERATING EXPENSES</x:v>
      </x:c>
      <x:c r="AH29" s="174" t="str">
        <x:v>OPERATING EXPENSES</x:v>
      </x:c>
      <x:c r="AI29" s="174" t="str">
        <x:v>OPERATING EXPENSES</x:v>
      </x:c>
      <x:c r="AJ29" s="174" t="str">
        <x:v>OPERATING EXPENSES</x:v>
      </x:c>
      <x:c r="AK29" s="174" t="str">
        <x:v>OPERATING EXPENSES</x:v>
      </x:c>
    </x:row>
    <x:row r="30">
      <x:c r="A30" s="185" t="str">
        <x:v>Panthur hosting</x:v>
      </x:c>
      <x:c r="B30" s="173" t="n">
        <x:f>'Assumptions'!$G$62</x:f>
        <x:v>124.63</x:v>
      </x:c>
      <x:c r="C30" s="173" t="n">
        <x:f>'Assumptions'!$G$62</x:f>
        <x:v>124.63</x:v>
      </x:c>
      <x:c r="D30" s="173" t="n">
        <x:f>'Assumptions'!$G$62</x:f>
        <x:v>124.63</x:v>
      </x:c>
      <x:c r="E30" s="173" t="n">
        <x:f>'Assumptions'!$G$62</x:f>
        <x:v>124.63</x:v>
      </x:c>
      <x:c r="F30" s="173" t="n">
        <x:f>'Assumptions'!$G$62</x:f>
        <x:v>124.63</x:v>
      </x:c>
      <x:c r="G30" s="173" t="n">
        <x:f>'Assumptions'!$G$62</x:f>
        <x:v>124.63</x:v>
      </x:c>
      <x:c r="H30" s="173" t="n">
        <x:f>'Assumptions'!$G$62</x:f>
        <x:v>124.63</x:v>
      </x:c>
      <x:c r="I30" s="173" t="n">
        <x:f>'Assumptions'!$G$62</x:f>
        <x:v>124.63</x:v>
      </x:c>
      <x:c r="J30" s="173" t="n">
        <x:f>'Assumptions'!$G$62</x:f>
        <x:v>124.63</x:v>
      </x:c>
      <x:c r="K30" s="173" t="n">
        <x:f>'Assumptions'!$G$62</x:f>
        <x:v>124.63</x:v>
      </x:c>
      <x:c r="L30" s="173" t="n">
        <x:f>'Assumptions'!$G$62</x:f>
        <x:v>124.63</x:v>
      </x:c>
      <x:c r="M30" s="173" t="n">
        <x:f>'Assumptions'!$G$62</x:f>
        <x:v>124.63</x:v>
      </x:c>
      <x:c r="N30" s="173" t="n">
        <x:f>'Assumptions'!$G$62</x:f>
        <x:v>124.63</x:v>
      </x:c>
      <x:c r="O30" s="173" t="n">
        <x:f>'Assumptions'!$G$62</x:f>
        <x:v>124.63</x:v>
      </x:c>
      <x:c r="P30" s="173" t="n">
        <x:f>'Assumptions'!$G$62</x:f>
        <x:v>124.63</x:v>
      </x:c>
      <x:c r="Q30" s="173" t="n">
        <x:f>'Assumptions'!$G$62</x:f>
        <x:v>124.63</x:v>
      </x:c>
      <x:c r="R30" s="173" t="n">
        <x:f>'Assumptions'!$G$62</x:f>
        <x:v>124.63</x:v>
      </x:c>
      <x:c r="S30" s="173" t="n">
        <x:f>'Assumptions'!$G$62</x:f>
        <x:v>124.63</x:v>
      </x:c>
      <x:c r="T30" s="173" t="n">
        <x:f>'Assumptions'!$G$62</x:f>
        <x:v>124.63</x:v>
      </x:c>
      <x:c r="U30" s="173" t="n">
        <x:f>'Assumptions'!$G$62</x:f>
        <x:v>124.63</x:v>
      </x:c>
      <x:c r="V30" s="173" t="n">
        <x:f>'Assumptions'!$G$62</x:f>
        <x:v>124.63</x:v>
      </x:c>
      <x:c r="W30" s="173" t="n">
        <x:f>'Assumptions'!$G$62</x:f>
        <x:v>124.63</x:v>
      </x:c>
      <x:c r="X30" s="173" t="n">
        <x:f>'Assumptions'!$G$62</x:f>
        <x:v>124.63</x:v>
      </x:c>
      <x:c r="Y30" s="173" t="n">
        <x:f>'Assumptions'!$G$62</x:f>
        <x:v>124.63</x:v>
      </x:c>
      <x:c r="Z30" s="173" t="n">
        <x:f>'Assumptions'!$G$62</x:f>
        <x:v>124.63</x:v>
      </x:c>
      <x:c r="AA30" s="173" t="n">
        <x:f>'Assumptions'!$G$62</x:f>
        <x:v>124.63</x:v>
      </x:c>
      <x:c r="AB30" s="173" t="n">
        <x:f>'Assumptions'!$G$62</x:f>
        <x:v>124.63</x:v>
      </x:c>
      <x:c r="AC30" s="173" t="n">
        <x:f>'Assumptions'!$G$62</x:f>
        <x:v>124.63</x:v>
      </x:c>
      <x:c r="AD30" s="173" t="n">
        <x:f>'Assumptions'!$G$62</x:f>
        <x:v>124.63</x:v>
      </x:c>
      <x:c r="AE30" s="173" t="n">
        <x:f>'Assumptions'!$G$62</x:f>
        <x:v>124.63</x:v>
      </x:c>
      <x:c r="AF30" s="173" t="n">
        <x:f>'Assumptions'!$G$62</x:f>
        <x:v>124.63</x:v>
      </x:c>
      <x:c r="AG30" s="173" t="n">
        <x:f>'Assumptions'!$G$62</x:f>
        <x:v>124.63</x:v>
      </x:c>
      <x:c r="AH30" s="173" t="n">
        <x:f>'Assumptions'!$G$62</x:f>
        <x:v>124.63</x:v>
      </x:c>
      <x:c r="AI30" s="173" t="n">
        <x:f>'Assumptions'!$G$62</x:f>
        <x:v>124.63</x:v>
      </x:c>
      <x:c r="AJ30" s="173" t="n">
        <x:f>'Assumptions'!$G$62</x:f>
        <x:v>124.63</x:v>
      </x:c>
      <x:c r="AK30" s="173" t="n">
        <x:f>'Assumptions'!$G$62</x:f>
        <x:v>124.63</x:v>
      </x:c>
    </x:row>
    <x:row r="31">
      <x:c r="A31" s="185" t="str">
        <x:v>Safeguarding lead</x:v>
      </x:c>
      <x:c r="B31" s="173" t="n">
        <x:f>'Assumptions'!$G$41*'Assumptions'!$G$42*(1+'Assumptions'!$G$40)/12</x:f>
        <x:v>12000</x:v>
      </x:c>
      <x:c r="C31" s="173" t="n">
        <x:f>'Assumptions'!$G$41*'Assumptions'!$G$42*(1+'Assumptions'!$G$40)/12</x:f>
        <x:v>12000</x:v>
      </x:c>
      <x:c r="D31" s="173" t="n">
        <x:f>'Assumptions'!$G$41*'Assumptions'!$G$42*(1+'Assumptions'!$G$40)/12</x:f>
        <x:v>12000</x:v>
      </x:c>
      <x:c r="E31" s="173" t="n">
        <x:f>'Assumptions'!$G$41*'Assumptions'!$G$42*(1+'Assumptions'!$G$40)/12</x:f>
        <x:v>12000</x:v>
      </x:c>
      <x:c r="F31" s="173" t="n">
        <x:f>'Assumptions'!$G$41*'Assumptions'!$G$42*(1+'Assumptions'!$G$40)/12</x:f>
        <x:v>12000</x:v>
      </x:c>
      <x:c r="G31" s="173" t="n">
        <x:f>'Assumptions'!$G$41*'Assumptions'!$G$42*(1+'Assumptions'!$G$40)/12</x:f>
        <x:v>12000</x:v>
      </x:c>
      <x:c r="H31" s="173" t="n">
        <x:f>'Assumptions'!$G$41*'Assumptions'!$G$42*(1+'Assumptions'!$G$40)/12</x:f>
        <x:v>12000</x:v>
      </x:c>
      <x:c r="I31" s="173" t="n">
        <x:f>'Assumptions'!$G$41*'Assumptions'!$G$42*(1+'Assumptions'!$G$40)/12</x:f>
        <x:v>12000</x:v>
      </x:c>
      <x:c r="J31" s="173" t="n">
        <x:f>'Assumptions'!$G$41*'Assumptions'!$G$42*(1+'Assumptions'!$G$40)/12</x:f>
        <x:v>12000</x:v>
      </x:c>
      <x:c r="K31" s="173" t="n">
        <x:f>'Assumptions'!$G$41*'Assumptions'!$G$42*(1+'Assumptions'!$G$40)/12</x:f>
        <x:v>12000</x:v>
      </x:c>
      <x:c r="L31" s="173" t="n">
        <x:f>'Assumptions'!$G$41*'Assumptions'!$G$42*(1+'Assumptions'!$G$40)/12</x:f>
        <x:v>12000</x:v>
      </x:c>
      <x:c r="M31" s="173" t="n">
        <x:f>'Assumptions'!$G$41*'Assumptions'!$G$42*(1+'Assumptions'!$G$40)/12</x:f>
        <x:v>12000</x:v>
      </x:c>
      <x:c r="N31" s="173" t="n">
        <x:f>'Assumptions'!$G$41*'Assumptions'!$G$42*(1+'Assumptions'!$G$40)/12</x:f>
        <x:v>12000</x:v>
      </x:c>
      <x:c r="O31" s="173" t="n">
        <x:f>'Assumptions'!$G$41*'Assumptions'!$G$42*(1+'Assumptions'!$G$40)/12</x:f>
        <x:v>12000</x:v>
      </x:c>
      <x:c r="P31" s="173" t="n">
        <x:f>'Assumptions'!$G$41*'Assumptions'!$G$42*(1+'Assumptions'!$G$40)/12</x:f>
        <x:v>12000</x:v>
      </x:c>
      <x:c r="Q31" s="173" t="n">
        <x:f>'Assumptions'!$G$41*'Assumptions'!$G$42*(1+'Assumptions'!$G$40)/12</x:f>
        <x:v>12000</x:v>
      </x:c>
      <x:c r="R31" s="173" t="n">
        <x:f>'Assumptions'!$G$41*'Assumptions'!$G$42*(1+'Assumptions'!$G$40)/12</x:f>
        <x:v>12000</x:v>
      </x:c>
      <x:c r="S31" s="173" t="n">
        <x:f>'Assumptions'!$G$41*'Assumptions'!$G$42*(1+'Assumptions'!$G$40)/12</x:f>
        <x:v>12000</x:v>
      </x:c>
      <x:c r="T31" s="173" t="n">
        <x:f>'Assumptions'!$G$41*'Assumptions'!$G$42*(1+'Assumptions'!$G$40)/12</x:f>
        <x:v>12000</x:v>
      </x:c>
      <x:c r="U31" s="173" t="n">
        <x:f>'Assumptions'!$G$41*'Assumptions'!$G$42*(1+'Assumptions'!$G$40)/12</x:f>
        <x:v>12000</x:v>
      </x:c>
      <x:c r="V31" s="173" t="n">
        <x:f>'Assumptions'!$G$41*'Assumptions'!$G$42*(1+'Assumptions'!$G$40)/12</x:f>
        <x:v>12000</x:v>
      </x:c>
      <x:c r="W31" s="173" t="n">
        <x:f>'Assumptions'!$G$41*'Assumptions'!$G$42*(1+'Assumptions'!$G$40)/12</x:f>
        <x:v>12000</x:v>
      </x:c>
      <x:c r="X31" s="173" t="n">
        <x:f>'Assumptions'!$G$41*'Assumptions'!$G$42*(1+'Assumptions'!$G$40)/12</x:f>
        <x:v>12000</x:v>
      </x:c>
      <x:c r="Y31" s="173" t="n">
        <x:f>'Assumptions'!$G$41*'Assumptions'!$G$42*(1+'Assumptions'!$G$40)/12</x:f>
        <x:v>12000</x:v>
      </x:c>
      <x:c r="Z31" s="173" t="n">
        <x:f>'Assumptions'!$G$41*'Assumptions'!$G$42*(1+'Assumptions'!$G$40)/12</x:f>
        <x:v>12000</x:v>
      </x:c>
      <x:c r="AA31" s="173" t="n">
        <x:f>'Assumptions'!$G$41*'Assumptions'!$G$42*(1+'Assumptions'!$G$40)/12</x:f>
        <x:v>12000</x:v>
      </x:c>
      <x:c r="AB31" s="173" t="n">
        <x:f>'Assumptions'!$G$41*'Assumptions'!$G$42*(1+'Assumptions'!$G$40)/12</x:f>
        <x:v>12000</x:v>
      </x:c>
      <x:c r="AC31" s="173" t="n">
        <x:f>'Assumptions'!$G$41*'Assumptions'!$G$42*(1+'Assumptions'!$G$40)/12</x:f>
        <x:v>12000</x:v>
      </x:c>
      <x:c r="AD31" s="173" t="n">
        <x:f>'Assumptions'!$G$41*'Assumptions'!$G$42*(1+'Assumptions'!$G$40)/12</x:f>
        <x:v>12000</x:v>
      </x:c>
      <x:c r="AE31" s="173" t="n">
        <x:f>'Assumptions'!$G$41*'Assumptions'!$G$42*(1+'Assumptions'!$G$40)/12</x:f>
        <x:v>12000</x:v>
      </x:c>
      <x:c r="AF31" s="173" t="n">
        <x:f>'Assumptions'!$G$41*'Assumptions'!$G$42*(1+'Assumptions'!$G$40)/12</x:f>
        <x:v>12000</x:v>
      </x:c>
      <x:c r="AG31" s="173" t="n">
        <x:f>'Assumptions'!$G$41*'Assumptions'!$G$42*(1+'Assumptions'!$G$40)/12</x:f>
        <x:v>12000</x:v>
      </x:c>
      <x:c r="AH31" s="173" t="n">
        <x:f>'Assumptions'!$G$41*'Assumptions'!$G$42*(1+'Assumptions'!$G$40)/12</x:f>
        <x:v>12000</x:v>
      </x:c>
      <x:c r="AI31" s="173" t="n">
        <x:f>'Assumptions'!$G$41*'Assumptions'!$G$42*(1+'Assumptions'!$G$40)/12</x:f>
        <x:v>12000</x:v>
      </x:c>
      <x:c r="AJ31" s="173" t="n">
        <x:f>'Assumptions'!$G$41*'Assumptions'!$G$42*(1+'Assumptions'!$G$40)/12</x:f>
        <x:v>12000</x:v>
      </x:c>
      <x:c r="AK31" s="173" t="n">
        <x:f>'Assumptions'!$G$41*'Assumptions'!$G$42*(1+'Assumptions'!$G$40)/12</x:f>
        <x:v>12000</x:v>
      </x:c>
    </x:row>
    <x:row r="32">
      <x:c r="A32" s="185" t="str">
        <x:v>Human-in-loop response coverage</x:v>
      </x:c>
      <x:c r="B32" s="173" t="n">
        <x:f>'Assumptions'!$G$43*'Assumptions'!$G$44*52/12</x:f>
        <x:v>26693.333333333332</x:v>
      </x:c>
      <x:c r="C32" s="173" t="n">
        <x:f>'Assumptions'!$G$43*'Assumptions'!$G$44*52/12</x:f>
        <x:v>26693.333333333332</x:v>
      </x:c>
      <x:c r="D32" s="173" t="n">
        <x:f>'Assumptions'!$G$43*'Assumptions'!$G$44*52/12</x:f>
        <x:v>26693.333333333332</x:v>
      </x:c>
      <x:c r="E32" s="173" t="n">
        <x:f>'Assumptions'!$G$43*'Assumptions'!$G$44*52/12</x:f>
        <x:v>26693.333333333332</x:v>
      </x:c>
      <x:c r="F32" s="173" t="n">
        <x:f>'Assumptions'!$G$43*'Assumptions'!$G$44*52/12</x:f>
        <x:v>26693.333333333332</x:v>
      </x:c>
      <x:c r="G32" s="173" t="n">
        <x:f>'Assumptions'!$G$43*'Assumptions'!$G$44*52/12</x:f>
        <x:v>26693.333333333332</x:v>
      </x:c>
      <x:c r="H32" s="173" t="n">
        <x:f>'Assumptions'!$G$43*'Assumptions'!$G$44*52/12</x:f>
        <x:v>26693.333333333332</x:v>
      </x:c>
      <x:c r="I32" s="173" t="n">
        <x:f>'Assumptions'!$G$43*'Assumptions'!$G$44*52/12</x:f>
        <x:v>26693.333333333332</x:v>
      </x:c>
      <x:c r="J32" s="173" t="n">
        <x:f>'Assumptions'!$G$43*'Assumptions'!$G$44*52/12</x:f>
        <x:v>26693.333333333332</x:v>
      </x:c>
      <x:c r="K32" s="173" t="n">
        <x:f>'Assumptions'!$G$43*'Assumptions'!$G$44*52/12</x:f>
        <x:v>26693.333333333332</x:v>
      </x:c>
      <x:c r="L32" s="173" t="n">
        <x:f>'Assumptions'!$G$43*'Assumptions'!$G$44*52/12</x:f>
        <x:v>26693.333333333332</x:v>
      </x:c>
      <x:c r="M32" s="173" t="n">
        <x:f>'Assumptions'!$G$43*'Assumptions'!$G$44*52/12</x:f>
        <x:v>26693.333333333332</x:v>
      </x:c>
      <x:c r="N32" s="173" t="n">
        <x:f>'Assumptions'!$G$43*'Assumptions'!$G$44*52/12</x:f>
        <x:v>26693.333333333332</x:v>
      </x:c>
      <x:c r="O32" s="173" t="n">
        <x:f>'Assumptions'!$G$43*'Assumptions'!$G$44*52/12</x:f>
        <x:v>26693.333333333332</x:v>
      </x:c>
      <x:c r="P32" s="173" t="n">
        <x:f>'Assumptions'!$G$43*'Assumptions'!$G$44*52/12</x:f>
        <x:v>26693.333333333332</x:v>
      </x:c>
      <x:c r="Q32" s="173" t="n">
        <x:f>'Assumptions'!$G$43*'Assumptions'!$G$44*52/12</x:f>
        <x:v>26693.333333333332</x:v>
      </x:c>
      <x:c r="R32" s="173" t="n">
        <x:f>'Assumptions'!$G$43*'Assumptions'!$G$44*52/12</x:f>
        <x:v>26693.333333333332</x:v>
      </x:c>
      <x:c r="S32" s="173" t="n">
        <x:f>'Assumptions'!$G$43*'Assumptions'!$G$44*52/12</x:f>
        <x:v>26693.333333333332</x:v>
      </x:c>
      <x:c r="T32" s="173" t="n">
        <x:f>'Assumptions'!$G$43*'Assumptions'!$G$44*52/12</x:f>
        <x:v>26693.333333333332</x:v>
      </x:c>
      <x:c r="U32" s="173" t="n">
        <x:f>'Assumptions'!$G$43*'Assumptions'!$G$44*52/12</x:f>
        <x:v>26693.333333333332</x:v>
      </x:c>
      <x:c r="V32" s="173" t="n">
        <x:f>'Assumptions'!$G$43*'Assumptions'!$G$44*52/12</x:f>
        <x:v>26693.333333333332</x:v>
      </x:c>
      <x:c r="W32" s="173" t="n">
        <x:f>'Assumptions'!$G$43*'Assumptions'!$G$44*52/12</x:f>
        <x:v>26693.333333333332</x:v>
      </x:c>
      <x:c r="X32" s="173" t="n">
        <x:f>'Assumptions'!$G$43*'Assumptions'!$G$44*52/12</x:f>
        <x:v>26693.333333333332</x:v>
      </x:c>
      <x:c r="Y32" s="173" t="n">
        <x:f>'Assumptions'!$G$43*'Assumptions'!$G$44*52/12</x:f>
        <x:v>26693.333333333332</x:v>
      </x:c>
      <x:c r="Z32" s="173" t="n">
        <x:f>'Assumptions'!$G$43*'Assumptions'!$G$44*52/12</x:f>
        <x:v>26693.333333333332</x:v>
      </x:c>
      <x:c r="AA32" s="173" t="n">
        <x:f>'Assumptions'!$G$43*'Assumptions'!$G$44*52/12</x:f>
        <x:v>26693.333333333332</x:v>
      </x:c>
      <x:c r="AB32" s="173" t="n">
        <x:f>'Assumptions'!$G$43*'Assumptions'!$G$44*52/12</x:f>
        <x:v>26693.333333333332</x:v>
      </x:c>
      <x:c r="AC32" s="173" t="n">
        <x:f>'Assumptions'!$G$43*'Assumptions'!$G$44*52/12</x:f>
        <x:v>26693.333333333332</x:v>
      </x:c>
      <x:c r="AD32" s="173" t="n">
        <x:f>'Assumptions'!$G$43*'Assumptions'!$G$44*52/12</x:f>
        <x:v>26693.333333333332</x:v>
      </x:c>
      <x:c r="AE32" s="173" t="n">
        <x:f>'Assumptions'!$G$43*'Assumptions'!$G$44*52/12</x:f>
        <x:v>26693.333333333332</x:v>
      </x:c>
      <x:c r="AF32" s="173" t="n">
        <x:f>'Assumptions'!$G$43*'Assumptions'!$G$44*52/12</x:f>
        <x:v>26693.333333333332</x:v>
      </x:c>
      <x:c r="AG32" s="173" t="n">
        <x:f>'Assumptions'!$G$43*'Assumptions'!$G$44*52/12</x:f>
        <x:v>26693.333333333332</x:v>
      </x:c>
      <x:c r="AH32" s="173" t="n">
        <x:f>'Assumptions'!$G$43*'Assumptions'!$G$44*52/12</x:f>
        <x:v>26693.333333333332</x:v>
      </x:c>
      <x:c r="AI32" s="173" t="n">
        <x:f>'Assumptions'!$G$43*'Assumptions'!$G$44*52/12</x:f>
        <x:v>26693.333333333332</x:v>
      </x:c>
      <x:c r="AJ32" s="173" t="n">
        <x:f>'Assumptions'!$G$43*'Assumptions'!$G$44*52/12</x:f>
        <x:v>26693.333333333332</x:v>
      </x:c>
      <x:c r="AK32" s="173" t="n">
        <x:f>'Assumptions'!$G$43*'Assumptions'!$G$44*52/12</x:f>
        <x:v>26693.333333333332</x:v>
      </x:c>
    </x:row>
    <x:row r="33">
      <x:c r="A33" s="185" t="str">
        <x:v>Clinical governance lead</x:v>
      </x:c>
      <x:c r="B33" s="173" t="n">
        <x:f>'Assumptions'!$G$45*'Assumptions'!$G$46*(1+'Assumptions'!$G$40)/12</x:f>
        <x:v>4400</x:v>
      </x:c>
      <x:c r="C33" s="173" t="n">
        <x:f>'Assumptions'!$G$45*'Assumptions'!$G$46*(1+'Assumptions'!$G$40)/12</x:f>
        <x:v>4400</x:v>
      </x:c>
      <x:c r="D33" s="173" t="n">
        <x:f>'Assumptions'!$G$45*'Assumptions'!$G$46*(1+'Assumptions'!$G$40)/12</x:f>
        <x:v>4400</x:v>
      </x:c>
      <x:c r="E33" s="173" t="n">
        <x:f>'Assumptions'!$G$45*'Assumptions'!$G$46*(1+'Assumptions'!$G$40)/12</x:f>
        <x:v>4400</x:v>
      </x:c>
      <x:c r="F33" s="173" t="n">
        <x:f>'Assumptions'!$G$45*'Assumptions'!$G$46*(1+'Assumptions'!$G$40)/12</x:f>
        <x:v>4400</x:v>
      </x:c>
      <x:c r="G33" s="173" t="n">
        <x:f>'Assumptions'!$G$45*'Assumptions'!$G$46*(1+'Assumptions'!$G$40)/12</x:f>
        <x:v>4400</x:v>
      </x:c>
      <x:c r="H33" s="173" t="n">
        <x:f>'Assumptions'!$G$45*'Assumptions'!$G$46*(1+'Assumptions'!$G$40)/12</x:f>
        <x:v>4400</x:v>
      </x:c>
      <x:c r="I33" s="173" t="n">
        <x:f>'Assumptions'!$G$45*'Assumptions'!$G$46*(1+'Assumptions'!$G$40)/12</x:f>
        <x:v>4400</x:v>
      </x:c>
      <x:c r="J33" s="173" t="n">
        <x:f>'Assumptions'!$G$45*'Assumptions'!$G$46*(1+'Assumptions'!$G$40)/12</x:f>
        <x:v>4400</x:v>
      </x:c>
      <x:c r="K33" s="173" t="n">
        <x:f>'Assumptions'!$G$45*'Assumptions'!$G$46*(1+'Assumptions'!$G$40)/12</x:f>
        <x:v>4400</x:v>
      </x:c>
      <x:c r="L33" s="173" t="n">
        <x:f>'Assumptions'!$G$45*'Assumptions'!$G$46*(1+'Assumptions'!$G$40)/12</x:f>
        <x:v>4400</x:v>
      </x:c>
      <x:c r="M33" s="173" t="n">
        <x:f>'Assumptions'!$G$45*'Assumptions'!$G$46*(1+'Assumptions'!$G$40)/12</x:f>
        <x:v>4400</x:v>
      </x:c>
      <x:c r="N33" s="173" t="n">
        <x:f>'Assumptions'!$G$45*'Assumptions'!$G$46*(1+'Assumptions'!$G$40)/12</x:f>
        <x:v>4400</x:v>
      </x:c>
      <x:c r="O33" s="173" t="n">
        <x:f>'Assumptions'!$G$45*'Assumptions'!$G$46*(1+'Assumptions'!$G$40)/12</x:f>
        <x:v>4400</x:v>
      </x:c>
      <x:c r="P33" s="173" t="n">
        <x:f>'Assumptions'!$G$45*'Assumptions'!$G$46*(1+'Assumptions'!$G$40)/12</x:f>
        <x:v>4400</x:v>
      </x:c>
      <x:c r="Q33" s="173" t="n">
        <x:f>'Assumptions'!$G$45*'Assumptions'!$G$46*(1+'Assumptions'!$G$40)/12</x:f>
        <x:v>4400</x:v>
      </x:c>
      <x:c r="R33" s="173" t="n">
        <x:f>'Assumptions'!$G$45*'Assumptions'!$G$46*(1+'Assumptions'!$G$40)/12</x:f>
        <x:v>4400</x:v>
      </x:c>
      <x:c r="S33" s="173" t="n">
        <x:f>'Assumptions'!$G$45*'Assumptions'!$G$46*(1+'Assumptions'!$G$40)/12</x:f>
        <x:v>4400</x:v>
      </x:c>
      <x:c r="T33" s="173" t="n">
        <x:f>'Assumptions'!$G$45*'Assumptions'!$G$46*(1+'Assumptions'!$G$40)/12</x:f>
        <x:v>4400</x:v>
      </x:c>
      <x:c r="U33" s="173" t="n">
        <x:f>'Assumptions'!$G$45*'Assumptions'!$G$46*(1+'Assumptions'!$G$40)/12</x:f>
        <x:v>4400</x:v>
      </x:c>
      <x:c r="V33" s="173" t="n">
        <x:f>'Assumptions'!$G$45*'Assumptions'!$G$46*(1+'Assumptions'!$G$40)/12</x:f>
        <x:v>4400</x:v>
      </x:c>
      <x:c r="W33" s="173" t="n">
        <x:f>'Assumptions'!$G$45*'Assumptions'!$G$46*(1+'Assumptions'!$G$40)/12</x:f>
        <x:v>4400</x:v>
      </x:c>
      <x:c r="X33" s="173" t="n">
        <x:f>'Assumptions'!$G$45*'Assumptions'!$G$46*(1+'Assumptions'!$G$40)/12</x:f>
        <x:v>4400</x:v>
      </x:c>
      <x:c r="Y33" s="173" t="n">
        <x:f>'Assumptions'!$G$45*'Assumptions'!$G$46*(1+'Assumptions'!$G$40)/12</x:f>
        <x:v>4400</x:v>
      </x:c>
      <x:c r="Z33" s="173" t="n">
        <x:f>'Assumptions'!$G$45*'Assumptions'!$G$46*(1+'Assumptions'!$G$40)/12</x:f>
        <x:v>4400</x:v>
      </x:c>
      <x:c r="AA33" s="173" t="n">
        <x:f>'Assumptions'!$G$45*'Assumptions'!$G$46*(1+'Assumptions'!$G$40)/12</x:f>
        <x:v>4400</x:v>
      </x:c>
      <x:c r="AB33" s="173" t="n">
        <x:f>'Assumptions'!$G$45*'Assumptions'!$G$46*(1+'Assumptions'!$G$40)/12</x:f>
        <x:v>4400</x:v>
      </x:c>
      <x:c r="AC33" s="173" t="n">
        <x:f>'Assumptions'!$G$45*'Assumptions'!$G$46*(1+'Assumptions'!$G$40)/12</x:f>
        <x:v>4400</x:v>
      </x:c>
      <x:c r="AD33" s="173" t="n">
        <x:f>'Assumptions'!$G$45*'Assumptions'!$G$46*(1+'Assumptions'!$G$40)/12</x:f>
        <x:v>4400</x:v>
      </x:c>
      <x:c r="AE33" s="173" t="n">
        <x:f>'Assumptions'!$G$45*'Assumptions'!$G$46*(1+'Assumptions'!$G$40)/12</x:f>
        <x:v>4400</x:v>
      </x:c>
      <x:c r="AF33" s="173" t="n">
        <x:f>'Assumptions'!$G$45*'Assumptions'!$G$46*(1+'Assumptions'!$G$40)/12</x:f>
        <x:v>4400</x:v>
      </x:c>
      <x:c r="AG33" s="173" t="n">
        <x:f>'Assumptions'!$G$45*'Assumptions'!$G$46*(1+'Assumptions'!$G$40)/12</x:f>
        <x:v>4400</x:v>
      </x:c>
      <x:c r="AH33" s="173" t="n">
        <x:f>'Assumptions'!$G$45*'Assumptions'!$G$46*(1+'Assumptions'!$G$40)/12</x:f>
        <x:v>4400</x:v>
      </x:c>
      <x:c r="AI33" s="173" t="n">
        <x:f>'Assumptions'!$G$45*'Assumptions'!$G$46*(1+'Assumptions'!$G$40)/12</x:f>
        <x:v>4400</x:v>
      </x:c>
      <x:c r="AJ33" s="173" t="n">
        <x:f>'Assumptions'!$G$45*'Assumptions'!$G$46*(1+'Assumptions'!$G$40)/12</x:f>
        <x:v>4400</x:v>
      </x:c>
      <x:c r="AK33" s="173" t="n">
        <x:f>'Assumptions'!$G$45*'Assumptions'!$G$46*(1+'Assumptions'!$G$40)/12</x:f>
        <x:v>4400</x:v>
      </x:c>
    </x:row>
    <x:row r="34">
      <x:c r="A34" s="185" t="str">
        <x:v>Guided group EMDR clinicians</x:v>
      </x:c>
      <x:c r="B34" s="173" t="n">
        <x:f>'Assumptions'!$G$47*'Assumptions'!$G$48</x:f>
        <x:v>4200</x:v>
      </x:c>
      <x:c r="C34" s="173" t="n">
        <x:f>'Assumptions'!$G$47*'Assumptions'!$G$48</x:f>
        <x:v>4200</x:v>
      </x:c>
      <x:c r="D34" s="173" t="n">
        <x:f>'Assumptions'!$G$47*'Assumptions'!$G$48</x:f>
        <x:v>4200</x:v>
      </x:c>
      <x:c r="E34" s="173" t="n">
        <x:f>'Assumptions'!$G$47*'Assumptions'!$G$48</x:f>
        <x:v>4200</x:v>
      </x:c>
      <x:c r="F34" s="173" t="n">
        <x:f>'Assumptions'!$G$47*'Assumptions'!$G$48</x:f>
        <x:v>4200</x:v>
      </x:c>
      <x:c r="G34" s="173" t="n">
        <x:f>'Assumptions'!$G$47*'Assumptions'!$G$48</x:f>
        <x:v>4200</x:v>
      </x:c>
      <x:c r="H34" s="173" t="n">
        <x:f>'Assumptions'!$G$47*'Assumptions'!$G$48</x:f>
        <x:v>4200</x:v>
      </x:c>
      <x:c r="I34" s="173" t="n">
        <x:f>'Assumptions'!$G$47*'Assumptions'!$G$48</x:f>
        <x:v>4200</x:v>
      </x:c>
      <x:c r="J34" s="173" t="n">
        <x:f>'Assumptions'!$G$47*'Assumptions'!$G$48</x:f>
        <x:v>4200</x:v>
      </x:c>
      <x:c r="K34" s="173" t="n">
        <x:f>'Assumptions'!$G$47*'Assumptions'!$G$48</x:f>
        <x:v>4200</x:v>
      </x:c>
      <x:c r="L34" s="173" t="n">
        <x:f>'Assumptions'!$G$47*'Assumptions'!$G$48</x:f>
        <x:v>4200</x:v>
      </x:c>
      <x:c r="M34" s="173" t="n">
        <x:f>'Assumptions'!$G$47*'Assumptions'!$G$48</x:f>
        <x:v>4200</x:v>
      </x:c>
      <x:c r="N34" s="173" t="n">
        <x:f>'Assumptions'!$G$47*'Assumptions'!$G$48</x:f>
        <x:v>4200</x:v>
      </x:c>
      <x:c r="O34" s="173" t="n">
        <x:f>'Assumptions'!$G$47*'Assumptions'!$G$48</x:f>
        <x:v>4200</x:v>
      </x:c>
      <x:c r="P34" s="173" t="n">
        <x:f>'Assumptions'!$G$47*'Assumptions'!$G$48</x:f>
        <x:v>4200</x:v>
      </x:c>
      <x:c r="Q34" s="173" t="n">
        <x:f>'Assumptions'!$G$47*'Assumptions'!$G$48</x:f>
        <x:v>4200</x:v>
      </x:c>
      <x:c r="R34" s="173" t="n">
        <x:f>'Assumptions'!$G$47*'Assumptions'!$G$48</x:f>
        <x:v>4200</x:v>
      </x:c>
      <x:c r="S34" s="173" t="n">
        <x:f>'Assumptions'!$G$47*'Assumptions'!$G$48</x:f>
        <x:v>4200</x:v>
      </x:c>
      <x:c r="T34" s="173" t="n">
        <x:f>'Assumptions'!$G$47*'Assumptions'!$G$48</x:f>
        <x:v>4200</x:v>
      </x:c>
      <x:c r="U34" s="173" t="n">
        <x:f>'Assumptions'!$G$47*'Assumptions'!$G$48</x:f>
        <x:v>4200</x:v>
      </x:c>
      <x:c r="V34" s="173" t="n">
        <x:f>'Assumptions'!$G$47*'Assumptions'!$G$48</x:f>
        <x:v>4200</x:v>
      </x:c>
      <x:c r="W34" s="173" t="n">
        <x:f>'Assumptions'!$G$47*'Assumptions'!$G$48</x:f>
        <x:v>4200</x:v>
      </x:c>
      <x:c r="X34" s="173" t="n">
        <x:f>'Assumptions'!$G$47*'Assumptions'!$G$48</x:f>
        <x:v>4200</x:v>
      </x:c>
      <x:c r="Y34" s="173" t="n">
        <x:f>'Assumptions'!$G$47*'Assumptions'!$G$48</x:f>
        <x:v>4200</x:v>
      </x:c>
      <x:c r="Z34" s="173" t="n">
        <x:f>'Assumptions'!$G$47*'Assumptions'!$G$48</x:f>
        <x:v>4200</x:v>
      </x:c>
      <x:c r="AA34" s="173" t="n">
        <x:f>'Assumptions'!$G$47*'Assumptions'!$G$48</x:f>
        <x:v>4200</x:v>
      </x:c>
      <x:c r="AB34" s="173" t="n">
        <x:f>'Assumptions'!$G$47*'Assumptions'!$G$48</x:f>
        <x:v>4200</x:v>
      </x:c>
      <x:c r="AC34" s="173" t="n">
        <x:f>'Assumptions'!$G$47*'Assumptions'!$G$48</x:f>
        <x:v>4200</x:v>
      </x:c>
      <x:c r="AD34" s="173" t="n">
        <x:f>'Assumptions'!$G$47*'Assumptions'!$G$48</x:f>
        <x:v>4200</x:v>
      </x:c>
      <x:c r="AE34" s="173" t="n">
        <x:f>'Assumptions'!$G$47*'Assumptions'!$G$48</x:f>
        <x:v>4200</x:v>
      </x:c>
      <x:c r="AF34" s="173" t="n">
        <x:f>'Assumptions'!$G$47*'Assumptions'!$G$48</x:f>
        <x:v>4200</x:v>
      </x:c>
      <x:c r="AG34" s="173" t="n">
        <x:f>'Assumptions'!$G$47*'Assumptions'!$G$48</x:f>
        <x:v>4200</x:v>
      </x:c>
      <x:c r="AH34" s="173" t="n">
        <x:f>'Assumptions'!$G$47*'Assumptions'!$G$48</x:f>
        <x:v>4200</x:v>
      </x:c>
      <x:c r="AI34" s="173" t="n">
        <x:f>'Assumptions'!$G$47*'Assumptions'!$G$48</x:f>
        <x:v>4200</x:v>
      </x:c>
      <x:c r="AJ34" s="173" t="n">
        <x:f>'Assumptions'!$G$47*'Assumptions'!$G$48</x:f>
        <x:v>4200</x:v>
      </x:c>
      <x:c r="AK34" s="173" t="n">
        <x:f>'Assumptions'!$G$47*'Assumptions'!$G$48</x:f>
        <x:v>4200</x:v>
      </x:c>
    </x:row>
    <x:row r="35">
      <x:c r="A35" s="185" t="str">
        <x:v>Audio-room moderators</x:v>
      </x:c>
      <x:c r="B35" s="173" t="n">
        <x:f>'Assumptions'!$G$49*'Assumptions'!$G$50*52/12</x:f>
        <x:v>13866.666666666666</x:v>
      </x:c>
      <x:c r="C35" s="173" t="n">
        <x:f>'Assumptions'!$G$49*'Assumptions'!$G$50*52/12</x:f>
        <x:v>13866.666666666666</x:v>
      </x:c>
      <x:c r="D35" s="173" t="n">
        <x:f>'Assumptions'!$G$49*'Assumptions'!$G$50*52/12</x:f>
        <x:v>13866.666666666666</x:v>
      </x:c>
      <x:c r="E35" s="173" t="n">
        <x:f>'Assumptions'!$G$49*'Assumptions'!$G$50*52/12</x:f>
        <x:v>13866.666666666666</x:v>
      </x:c>
      <x:c r="F35" s="173" t="n">
        <x:f>'Assumptions'!$G$49*'Assumptions'!$G$50*52/12</x:f>
        <x:v>13866.666666666666</x:v>
      </x:c>
      <x:c r="G35" s="173" t="n">
        <x:f>'Assumptions'!$G$49*'Assumptions'!$G$50*52/12</x:f>
        <x:v>13866.666666666666</x:v>
      </x:c>
      <x:c r="H35" s="173" t="n">
        <x:f>'Assumptions'!$G$49*'Assumptions'!$G$50*52/12</x:f>
        <x:v>13866.666666666666</x:v>
      </x:c>
      <x:c r="I35" s="173" t="n">
        <x:f>'Assumptions'!$G$49*'Assumptions'!$G$50*52/12</x:f>
        <x:v>13866.666666666666</x:v>
      </x:c>
      <x:c r="J35" s="173" t="n">
        <x:f>'Assumptions'!$G$49*'Assumptions'!$G$50*52/12</x:f>
        <x:v>13866.666666666666</x:v>
      </x:c>
      <x:c r="K35" s="173" t="n">
        <x:f>'Assumptions'!$G$49*'Assumptions'!$G$50*52/12</x:f>
        <x:v>13866.666666666666</x:v>
      </x:c>
      <x:c r="L35" s="173" t="n">
        <x:f>'Assumptions'!$G$49*'Assumptions'!$G$50*52/12</x:f>
        <x:v>13866.666666666666</x:v>
      </x:c>
      <x:c r="M35" s="173" t="n">
        <x:f>'Assumptions'!$G$49*'Assumptions'!$G$50*52/12</x:f>
        <x:v>13866.666666666666</x:v>
      </x:c>
      <x:c r="N35" s="173" t="n">
        <x:f>'Assumptions'!$G$49*'Assumptions'!$G$50*52/12</x:f>
        <x:v>13866.666666666666</x:v>
      </x:c>
      <x:c r="O35" s="173" t="n">
        <x:f>'Assumptions'!$G$49*'Assumptions'!$G$50*52/12</x:f>
        <x:v>13866.666666666666</x:v>
      </x:c>
      <x:c r="P35" s="173" t="n">
        <x:f>'Assumptions'!$G$49*'Assumptions'!$G$50*52/12</x:f>
        <x:v>13866.666666666666</x:v>
      </x:c>
      <x:c r="Q35" s="173" t="n">
        <x:f>'Assumptions'!$G$49*'Assumptions'!$G$50*52/12</x:f>
        <x:v>13866.666666666666</x:v>
      </x:c>
      <x:c r="R35" s="173" t="n">
        <x:f>'Assumptions'!$G$49*'Assumptions'!$G$50*52/12</x:f>
        <x:v>13866.666666666666</x:v>
      </x:c>
      <x:c r="S35" s="173" t="n">
        <x:f>'Assumptions'!$G$49*'Assumptions'!$G$50*52/12</x:f>
        <x:v>13866.666666666666</x:v>
      </x:c>
      <x:c r="T35" s="173" t="n">
        <x:f>'Assumptions'!$G$49*'Assumptions'!$G$50*52/12</x:f>
        <x:v>13866.666666666666</x:v>
      </x:c>
      <x:c r="U35" s="173" t="n">
        <x:f>'Assumptions'!$G$49*'Assumptions'!$G$50*52/12</x:f>
        <x:v>13866.666666666666</x:v>
      </x:c>
      <x:c r="V35" s="173" t="n">
        <x:f>'Assumptions'!$G$49*'Assumptions'!$G$50*52/12</x:f>
        <x:v>13866.666666666666</x:v>
      </x:c>
      <x:c r="W35" s="173" t="n">
        <x:f>'Assumptions'!$G$49*'Assumptions'!$G$50*52/12</x:f>
        <x:v>13866.666666666666</x:v>
      </x:c>
      <x:c r="X35" s="173" t="n">
        <x:f>'Assumptions'!$G$49*'Assumptions'!$G$50*52/12</x:f>
        <x:v>13866.666666666666</x:v>
      </x:c>
      <x:c r="Y35" s="173" t="n">
        <x:f>'Assumptions'!$G$49*'Assumptions'!$G$50*52/12</x:f>
        <x:v>13866.666666666666</x:v>
      </x:c>
      <x:c r="Z35" s="173" t="n">
        <x:f>'Assumptions'!$G$49*'Assumptions'!$G$50*52/12</x:f>
        <x:v>13866.666666666666</x:v>
      </x:c>
      <x:c r="AA35" s="173" t="n">
        <x:f>'Assumptions'!$G$49*'Assumptions'!$G$50*52/12</x:f>
        <x:v>13866.666666666666</x:v>
      </x:c>
      <x:c r="AB35" s="173" t="n">
        <x:f>'Assumptions'!$G$49*'Assumptions'!$G$50*52/12</x:f>
        <x:v>13866.666666666666</x:v>
      </x:c>
      <x:c r="AC35" s="173" t="n">
        <x:f>'Assumptions'!$G$49*'Assumptions'!$G$50*52/12</x:f>
        <x:v>13866.666666666666</x:v>
      </x:c>
      <x:c r="AD35" s="173" t="n">
        <x:f>'Assumptions'!$G$49*'Assumptions'!$G$50*52/12</x:f>
        <x:v>13866.666666666666</x:v>
      </x:c>
      <x:c r="AE35" s="173" t="n">
        <x:f>'Assumptions'!$G$49*'Assumptions'!$G$50*52/12</x:f>
        <x:v>13866.666666666666</x:v>
      </x:c>
      <x:c r="AF35" s="173" t="n">
        <x:f>'Assumptions'!$G$49*'Assumptions'!$G$50*52/12</x:f>
        <x:v>13866.666666666666</x:v>
      </x:c>
      <x:c r="AG35" s="173" t="n">
        <x:f>'Assumptions'!$G$49*'Assumptions'!$G$50*52/12</x:f>
        <x:v>13866.666666666666</x:v>
      </x:c>
      <x:c r="AH35" s="173" t="n">
        <x:f>'Assumptions'!$G$49*'Assumptions'!$G$50*52/12</x:f>
        <x:v>13866.666666666666</x:v>
      </x:c>
      <x:c r="AI35" s="173" t="n">
        <x:f>'Assumptions'!$G$49*'Assumptions'!$G$50*52/12</x:f>
        <x:v>13866.666666666666</x:v>
      </x:c>
      <x:c r="AJ35" s="173" t="n">
        <x:f>'Assumptions'!$G$49*'Assumptions'!$G$50*52/12</x:f>
        <x:v>13866.666666666666</x:v>
      </x:c>
      <x:c r="AK35" s="173" t="n">
        <x:f>'Assumptions'!$G$49*'Assumptions'!$G$50*52/12</x:f>
        <x:v>13866.666666666666</x:v>
      </x:c>
    </x:row>
    <x:row r="36">
      <x:c r="A36" s="185" t="str">
        <x:v>Creative mentors</x:v>
      </x:c>
      <x:c r="B36" s="173" t="n">
        <x:f>'Assumptions'!$G$51*'Assumptions'!$G$52*52/12</x:f>
        <x:v>8666.666666666666</x:v>
      </x:c>
      <x:c r="C36" s="173" t="n">
        <x:f>'Assumptions'!$G$51*'Assumptions'!$G$52*52/12</x:f>
        <x:v>8666.666666666666</x:v>
      </x:c>
      <x:c r="D36" s="173" t="n">
        <x:f>'Assumptions'!$G$51*'Assumptions'!$G$52*52/12</x:f>
        <x:v>8666.666666666666</x:v>
      </x:c>
      <x:c r="E36" s="173" t="n">
        <x:f>'Assumptions'!$G$51*'Assumptions'!$G$52*52/12</x:f>
        <x:v>8666.666666666666</x:v>
      </x:c>
      <x:c r="F36" s="173" t="n">
        <x:f>'Assumptions'!$G$51*'Assumptions'!$G$52*52/12</x:f>
        <x:v>8666.666666666666</x:v>
      </x:c>
      <x:c r="G36" s="173" t="n">
        <x:f>'Assumptions'!$G$51*'Assumptions'!$G$52*52/12</x:f>
        <x:v>8666.666666666666</x:v>
      </x:c>
      <x:c r="H36" s="173" t="n">
        <x:f>'Assumptions'!$G$51*'Assumptions'!$G$52*52/12</x:f>
        <x:v>8666.666666666666</x:v>
      </x:c>
      <x:c r="I36" s="173" t="n">
        <x:f>'Assumptions'!$G$51*'Assumptions'!$G$52*52/12</x:f>
        <x:v>8666.666666666666</x:v>
      </x:c>
      <x:c r="J36" s="173" t="n">
        <x:f>'Assumptions'!$G$51*'Assumptions'!$G$52*52/12</x:f>
        <x:v>8666.666666666666</x:v>
      </x:c>
      <x:c r="K36" s="173" t="n">
        <x:f>'Assumptions'!$G$51*'Assumptions'!$G$52*52/12</x:f>
        <x:v>8666.666666666666</x:v>
      </x:c>
      <x:c r="L36" s="173" t="n">
        <x:f>'Assumptions'!$G$51*'Assumptions'!$G$52*52/12</x:f>
        <x:v>8666.666666666666</x:v>
      </x:c>
      <x:c r="M36" s="173" t="n">
        <x:f>'Assumptions'!$G$51*'Assumptions'!$G$52*52/12</x:f>
        <x:v>8666.666666666666</x:v>
      </x:c>
      <x:c r="N36" s="173" t="n">
        <x:f>'Assumptions'!$G$51*'Assumptions'!$G$52*52/12</x:f>
        <x:v>8666.666666666666</x:v>
      </x:c>
      <x:c r="O36" s="173" t="n">
        <x:f>'Assumptions'!$G$51*'Assumptions'!$G$52*52/12</x:f>
        <x:v>8666.666666666666</x:v>
      </x:c>
      <x:c r="P36" s="173" t="n">
        <x:f>'Assumptions'!$G$51*'Assumptions'!$G$52*52/12</x:f>
        <x:v>8666.666666666666</x:v>
      </x:c>
      <x:c r="Q36" s="173" t="n">
        <x:f>'Assumptions'!$G$51*'Assumptions'!$G$52*52/12</x:f>
        <x:v>8666.666666666666</x:v>
      </x:c>
      <x:c r="R36" s="173" t="n">
        <x:f>'Assumptions'!$G$51*'Assumptions'!$G$52*52/12</x:f>
        <x:v>8666.666666666666</x:v>
      </x:c>
      <x:c r="S36" s="173" t="n">
        <x:f>'Assumptions'!$G$51*'Assumptions'!$G$52*52/12</x:f>
        <x:v>8666.666666666666</x:v>
      </x:c>
      <x:c r="T36" s="173" t="n">
        <x:f>'Assumptions'!$G$51*'Assumptions'!$G$52*52/12</x:f>
        <x:v>8666.666666666666</x:v>
      </x:c>
      <x:c r="U36" s="173" t="n">
        <x:f>'Assumptions'!$G$51*'Assumptions'!$G$52*52/12</x:f>
        <x:v>8666.666666666666</x:v>
      </x:c>
      <x:c r="V36" s="173" t="n">
        <x:f>'Assumptions'!$G$51*'Assumptions'!$G$52*52/12</x:f>
        <x:v>8666.666666666666</x:v>
      </x:c>
      <x:c r="W36" s="173" t="n">
        <x:f>'Assumptions'!$G$51*'Assumptions'!$G$52*52/12</x:f>
        <x:v>8666.666666666666</x:v>
      </x:c>
      <x:c r="X36" s="173" t="n">
        <x:f>'Assumptions'!$G$51*'Assumptions'!$G$52*52/12</x:f>
        <x:v>8666.666666666666</x:v>
      </x:c>
      <x:c r="Y36" s="173" t="n">
        <x:f>'Assumptions'!$G$51*'Assumptions'!$G$52*52/12</x:f>
        <x:v>8666.666666666666</x:v>
      </x:c>
      <x:c r="Z36" s="173" t="n">
        <x:f>'Assumptions'!$G$51*'Assumptions'!$G$52*52/12</x:f>
        <x:v>8666.666666666666</x:v>
      </x:c>
      <x:c r="AA36" s="173" t="n">
        <x:f>'Assumptions'!$G$51*'Assumptions'!$G$52*52/12</x:f>
        <x:v>8666.666666666666</x:v>
      </x:c>
      <x:c r="AB36" s="173" t="n">
        <x:f>'Assumptions'!$G$51*'Assumptions'!$G$52*52/12</x:f>
        <x:v>8666.666666666666</x:v>
      </x:c>
      <x:c r="AC36" s="173" t="n">
        <x:f>'Assumptions'!$G$51*'Assumptions'!$G$52*52/12</x:f>
        <x:v>8666.666666666666</x:v>
      </x:c>
      <x:c r="AD36" s="173" t="n">
        <x:f>'Assumptions'!$G$51*'Assumptions'!$G$52*52/12</x:f>
        <x:v>8666.666666666666</x:v>
      </x:c>
      <x:c r="AE36" s="173" t="n">
        <x:f>'Assumptions'!$G$51*'Assumptions'!$G$52*52/12</x:f>
        <x:v>8666.666666666666</x:v>
      </x:c>
      <x:c r="AF36" s="173" t="n">
        <x:f>'Assumptions'!$G$51*'Assumptions'!$G$52*52/12</x:f>
        <x:v>8666.666666666666</x:v>
      </x:c>
      <x:c r="AG36" s="173" t="n">
        <x:f>'Assumptions'!$G$51*'Assumptions'!$G$52*52/12</x:f>
        <x:v>8666.666666666666</x:v>
      </x:c>
      <x:c r="AH36" s="173" t="n">
        <x:f>'Assumptions'!$G$51*'Assumptions'!$G$52*52/12</x:f>
        <x:v>8666.666666666666</x:v>
      </x:c>
      <x:c r="AI36" s="173" t="n">
        <x:f>'Assumptions'!$G$51*'Assumptions'!$G$52*52/12</x:f>
        <x:v>8666.666666666666</x:v>
      </x:c>
      <x:c r="AJ36" s="173" t="n">
        <x:f>'Assumptions'!$G$51*'Assumptions'!$G$52*52/12</x:f>
        <x:v>8666.666666666666</x:v>
      </x:c>
      <x:c r="AK36" s="173" t="n">
        <x:f>'Assumptions'!$G$51*'Assumptions'!$G$52*52/12</x:f>
        <x:v>8666.666666666666</x:v>
      </x:c>
    </x:row>
    <x:row r="37">
      <x:c r="A37" s="185" t="str">
        <x:v>Product engineering &amp; platform ops</x:v>
      </x:c>
      <x:c r="B37" s="173" t="n">
        <x:f>'Assumptions'!$G$53*'Assumptions'!$G$54*(1+'Assumptions'!$G$40)/12</x:f>
        <x:v>21000</x:v>
      </x:c>
      <x:c r="C37" s="173" t="n">
        <x:f>'Assumptions'!$G$53*'Assumptions'!$G$54*(1+'Assumptions'!$G$40)/12</x:f>
        <x:v>21000</x:v>
      </x:c>
      <x:c r="D37" s="173" t="n">
        <x:f>'Assumptions'!$G$53*'Assumptions'!$G$54*(1+'Assumptions'!$G$40)/12</x:f>
        <x:v>21000</x:v>
      </x:c>
      <x:c r="E37" s="173" t="n">
        <x:f>'Assumptions'!$G$53*'Assumptions'!$G$54*(1+'Assumptions'!$G$40)/12</x:f>
        <x:v>21000</x:v>
      </x:c>
      <x:c r="F37" s="173" t="n">
        <x:f>'Assumptions'!$G$53*'Assumptions'!$G$54*(1+'Assumptions'!$G$40)/12</x:f>
        <x:v>21000</x:v>
      </x:c>
      <x:c r="G37" s="173" t="n">
        <x:f>'Assumptions'!$G$53*'Assumptions'!$G$54*(1+'Assumptions'!$G$40)/12</x:f>
        <x:v>21000</x:v>
      </x:c>
      <x:c r="H37" s="173" t="n">
        <x:f>'Assumptions'!$G$53*'Assumptions'!$G$54*(1+'Assumptions'!$G$40)/12</x:f>
        <x:v>21000</x:v>
      </x:c>
      <x:c r="I37" s="173" t="n">
        <x:f>'Assumptions'!$G$53*'Assumptions'!$G$54*(1+'Assumptions'!$G$40)/12</x:f>
        <x:v>21000</x:v>
      </x:c>
      <x:c r="J37" s="173" t="n">
        <x:f>'Assumptions'!$G$53*'Assumptions'!$G$54*(1+'Assumptions'!$G$40)/12</x:f>
        <x:v>21000</x:v>
      </x:c>
      <x:c r="K37" s="173" t="n">
        <x:f>'Assumptions'!$G$53*'Assumptions'!$G$54*(1+'Assumptions'!$G$40)/12</x:f>
        <x:v>21000</x:v>
      </x:c>
      <x:c r="L37" s="173" t="n">
        <x:f>'Assumptions'!$G$53*'Assumptions'!$G$54*(1+'Assumptions'!$G$40)/12</x:f>
        <x:v>21000</x:v>
      </x:c>
      <x:c r="M37" s="173" t="n">
        <x:f>'Assumptions'!$G$53*'Assumptions'!$G$54*(1+'Assumptions'!$G$40)/12</x:f>
        <x:v>21000</x:v>
      </x:c>
      <x:c r="N37" s="173" t="n">
        <x:f>'Assumptions'!$G$53*'Assumptions'!$G$54*(1+'Assumptions'!$G$40)/12</x:f>
        <x:v>21000</x:v>
      </x:c>
      <x:c r="O37" s="173" t="n">
        <x:f>'Assumptions'!$G$53*'Assumptions'!$G$54*(1+'Assumptions'!$G$40)/12</x:f>
        <x:v>21000</x:v>
      </x:c>
      <x:c r="P37" s="173" t="n">
        <x:f>'Assumptions'!$G$53*'Assumptions'!$G$54*(1+'Assumptions'!$G$40)/12</x:f>
        <x:v>21000</x:v>
      </x:c>
      <x:c r="Q37" s="173" t="n">
        <x:f>'Assumptions'!$G$53*'Assumptions'!$G$54*(1+'Assumptions'!$G$40)/12</x:f>
        <x:v>21000</x:v>
      </x:c>
      <x:c r="R37" s="173" t="n">
        <x:f>'Assumptions'!$G$53*'Assumptions'!$G$54*(1+'Assumptions'!$G$40)/12</x:f>
        <x:v>21000</x:v>
      </x:c>
      <x:c r="S37" s="173" t="n">
        <x:f>'Assumptions'!$G$53*'Assumptions'!$G$54*(1+'Assumptions'!$G$40)/12</x:f>
        <x:v>21000</x:v>
      </x:c>
      <x:c r="T37" s="173" t="n">
        <x:f>'Assumptions'!$G$53*'Assumptions'!$G$54*(1+'Assumptions'!$G$40)/12</x:f>
        <x:v>21000</x:v>
      </x:c>
      <x:c r="U37" s="173" t="n">
        <x:f>'Assumptions'!$G$53*'Assumptions'!$G$54*(1+'Assumptions'!$G$40)/12</x:f>
        <x:v>21000</x:v>
      </x:c>
      <x:c r="V37" s="173" t="n">
        <x:f>'Assumptions'!$G$53*'Assumptions'!$G$54*(1+'Assumptions'!$G$40)/12</x:f>
        <x:v>21000</x:v>
      </x:c>
      <x:c r="W37" s="173" t="n">
        <x:f>'Assumptions'!$G$53*'Assumptions'!$G$54*(1+'Assumptions'!$G$40)/12</x:f>
        <x:v>21000</x:v>
      </x:c>
      <x:c r="X37" s="173" t="n">
        <x:f>'Assumptions'!$G$53*'Assumptions'!$G$54*(1+'Assumptions'!$G$40)/12</x:f>
        <x:v>21000</x:v>
      </x:c>
      <x:c r="Y37" s="173" t="n">
        <x:f>'Assumptions'!$G$53*'Assumptions'!$G$54*(1+'Assumptions'!$G$40)/12</x:f>
        <x:v>21000</x:v>
      </x:c>
      <x:c r="Z37" s="173" t="n">
        <x:f>'Assumptions'!$G$53*'Assumptions'!$G$54*(1+'Assumptions'!$G$40)/12</x:f>
        <x:v>21000</x:v>
      </x:c>
      <x:c r="AA37" s="173" t="n">
        <x:f>'Assumptions'!$G$53*'Assumptions'!$G$54*(1+'Assumptions'!$G$40)/12</x:f>
        <x:v>21000</x:v>
      </x:c>
      <x:c r="AB37" s="173" t="n">
        <x:f>'Assumptions'!$G$53*'Assumptions'!$G$54*(1+'Assumptions'!$G$40)/12</x:f>
        <x:v>21000</x:v>
      </x:c>
      <x:c r="AC37" s="173" t="n">
        <x:f>'Assumptions'!$G$53*'Assumptions'!$G$54*(1+'Assumptions'!$G$40)/12</x:f>
        <x:v>21000</x:v>
      </x:c>
      <x:c r="AD37" s="173" t="n">
        <x:f>'Assumptions'!$G$53*'Assumptions'!$G$54*(1+'Assumptions'!$G$40)/12</x:f>
        <x:v>21000</x:v>
      </x:c>
      <x:c r="AE37" s="173" t="n">
        <x:f>'Assumptions'!$G$53*'Assumptions'!$G$54*(1+'Assumptions'!$G$40)/12</x:f>
        <x:v>21000</x:v>
      </x:c>
      <x:c r="AF37" s="173" t="n">
        <x:f>'Assumptions'!$G$53*'Assumptions'!$G$54*(1+'Assumptions'!$G$40)/12</x:f>
        <x:v>21000</x:v>
      </x:c>
      <x:c r="AG37" s="173" t="n">
        <x:f>'Assumptions'!$G$53*'Assumptions'!$G$54*(1+'Assumptions'!$G$40)/12</x:f>
        <x:v>21000</x:v>
      </x:c>
      <x:c r="AH37" s="173" t="n">
        <x:f>'Assumptions'!$G$53*'Assumptions'!$G$54*(1+'Assumptions'!$G$40)/12</x:f>
        <x:v>21000</x:v>
      </x:c>
      <x:c r="AI37" s="173" t="n">
        <x:f>'Assumptions'!$G$53*'Assumptions'!$G$54*(1+'Assumptions'!$G$40)/12</x:f>
        <x:v>21000</x:v>
      </x:c>
      <x:c r="AJ37" s="173" t="n">
        <x:f>'Assumptions'!$G$53*'Assumptions'!$G$54*(1+'Assumptions'!$G$40)/12</x:f>
        <x:v>21000</x:v>
      </x:c>
      <x:c r="AK37" s="173" t="n">
        <x:f>'Assumptions'!$G$53*'Assumptions'!$G$54*(1+'Assumptions'!$G$40)/12</x:f>
        <x:v>21000</x:v>
      </x:c>
    </x:row>
    <x:row r="38">
      <x:c r="A38" s="185" t="str">
        <x:v>Content / editorial</x:v>
      </x:c>
      <x:c r="B38" s="173" t="n">
        <x:f>'Assumptions'!$G$55*'Assumptions'!$G$56*(1+'Assumptions'!$G$40)/12</x:f>
        <x:v>10000</x:v>
      </x:c>
      <x:c r="C38" s="173" t="n">
        <x:f>'Assumptions'!$G$55*'Assumptions'!$G$56*(1+'Assumptions'!$G$40)/12</x:f>
        <x:v>10000</x:v>
      </x:c>
      <x:c r="D38" s="173" t="n">
        <x:f>'Assumptions'!$G$55*'Assumptions'!$G$56*(1+'Assumptions'!$G$40)/12</x:f>
        <x:v>10000</x:v>
      </x:c>
      <x:c r="E38" s="173" t="n">
        <x:f>'Assumptions'!$G$55*'Assumptions'!$G$56*(1+'Assumptions'!$G$40)/12</x:f>
        <x:v>10000</x:v>
      </x:c>
      <x:c r="F38" s="173" t="n">
        <x:f>'Assumptions'!$G$55*'Assumptions'!$G$56*(1+'Assumptions'!$G$40)/12</x:f>
        <x:v>10000</x:v>
      </x:c>
      <x:c r="G38" s="173" t="n">
        <x:f>'Assumptions'!$G$55*'Assumptions'!$G$56*(1+'Assumptions'!$G$40)/12</x:f>
        <x:v>10000</x:v>
      </x:c>
      <x:c r="H38" s="173" t="n">
        <x:f>'Assumptions'!$G$55*'Assumptions'!$G$56*(1+'Assumptions'!$G$40)/12</x:f>
        <x:v>10000</x:v>
      </x:c>
      <x:c r="I38" s="173" t="n">
        <x:f>'Assumptions'!$G$55*'Assumptions'!$G$56*(1+'Assumptions'!$G$40)/12</x:f>
        <x:v>10000</x:v>
      </x:c>
      <x:c r="J38" s="173" t="n">
        <x:f>'Assumptions'!$G$55*'Assumptions'!$G$56*(1+'Assumptions'!$G$40)/12</x:f>
        <x:v>10000</x:v>
      </x:c>
      <x:c r="K38" s="173" t="n">
        <x:f>'Assumptions'!$G$55*'Assumptions'!$G$56*(1+'Assumptions'!$G$40)/12</x:f>
        <x:v>10000</x:v>
      </x:c>
      <x:c r="L38" s="173" t="n">
        <x:f>'Assumptions'!$G$55*'Assumptions'!$G$56*(1+'Assumptions'!$G$40)/12</x:f>
        <x:v>10000</x:v>
      </x:c>
      <x:c r="M38" s="173" t="n">
        <x:f>'Assumptions'!$G$55*'Assumptions'!$G$56*(1+'Assumptions'!$G$40)/12</x:f>
        <x:v>10000</x:v>
      </x:c>
      <x:c r="N38" s="173" t="n">
        <x:f>'Assumptions'!$G$55*'Assumptions'!$G$56*(1+'Assumptions'!$G$40)/12</x:f>
        <x:v>10000</x:v>
      </x:c>
      <x:c r="O38" s="173" t="n">
        <x:f>'Assumptions'!$G$55*'Assumptions'!$G$56*(1+'Assumptions'!$G$40)/12</x:f>
        <x:v>10000</x:v>
      </x:c>
      <x:c r="P38" s="173" t="n">
        <x:f>'Assumptions'!$G$55*'Assumptions'!$G$56*(1+'Assumptions'!$G$40)/12</x:f>
        <x:v>10000</x:v>
      </x:c>
      <x:c r="Q38" s="173" t="n">
        <x:f>'Assumptions'!$G$55*'Assumptions'!$G$56*(1+'Assumptions'!$G$40)/12</x:f>
        <x:v>10000</x:v>
      </x:c>
      <x:c r="R38" s="173" t="n">
        <x:f>'Assumptions'!$G$55*'Assumptions'!$G$56*(1+'Assumptions'!$G$40)/12</x:f>
        <x:v>10000</x:v>
      </x:c>
      <x:c r="S38" s="173" t="n">
        <x:f>'Assumptions'!$G$55*'Assumptions'!$G$56*(1+'Assumptions'!$G$40)/12</x:f>
        <x:v>10000</x:v>
      </x:c>
      <x:c r="T38" s="173" t="n">
        <x:f>'Assumptions'!$G$55*'Assumptions'!$G$56*(1+'Assumptions'!$G$40)/12</x:f>
        <x:v>10000</x:v>
      </x:c>
      <x:c r="U38" s="173" t="n">
        <x:f>'Assumptions'!$G$55*'Assumptions'!$G$56*(1+'Assumptions'!$G$40)/12</x:f>
        <x:v>10000</x:v>
      </x:c>
      <x:c r="V38" s="173" t="n">
        <x:f>'Assumptions'!$G$55*'Assumptions'!$G$56*(1+'Assumptions'!$G$40)/12</x:f>
        <x:v>10000</x:v>
      </x:c>
      <x:c r="W38" s="173" t="n">
        <x:f>'Assumptions'!$G$55*'Assumptions'!$G$56*(1+'Assumptions'!$G$40)/12</x:f>
        <x:v>10000</x:v>
      </x:c>
      <x:c r="X38" s="173" t="n">
        <x:f>'Assumptions'!$G$55*'Assumptions'!$G$56*(1+'Assumptions'!$G$40)/12</x:f>
        <x:v>10000</x:v>
      </x:c>
      <x:c r="Y38" s="173" t="n">
        <x:f>'Assumptions'!$G$55*'Assumptions'!$G$56*(1+'Assumptions'!$G$40)/12</x:f>
        <x:v>10000</x:v>
      </x:c>
      <x:c r="Z38" s="173" t="n">
        <x:f>'Assumptions'!$G$55*'Assumptions'!$G$56*(1+'Assumptions'!$G$40)/12</x:f>
        <x:v>10000</x:v>
      </x:c>
      <x:c r="AA38" s="173" t="n">
        <x:f>'Assumptions'!$G$55*'Assumptions'!$G$56*(1+'Assumptions'!$G$40)/12</x:f>
        <x:v>10000</x:v>
      </x:c>
      <x:c r="AB38" s="173" t="n">
        <x:f>'Assumptions'!$G$55*'Assumptions'!$G$56*(1+'Assumptions'!$G$40)/12</x:f>
        <x:v>10000</x:v>
      </x:c>
      <x:c r="AC38" s="173" t="n">
        <x:f>'Assumptions'!$G$55*'Assumptions'!$G$56*(1+'Assumptions'!$G$40)/12</x:f>
        <x:v>10000</x:v>
      </x:c>
      <x:c r="AD38" s="173" t="n">
        <x:f>'Assumptions'!$G$55*'Assumptions'!$G$56*(1+'Assumptions'!$G$40)/12</x:f>
        <x:v>10000</x:v>
      </x:c>
      <x:c r="AE38" s="173" t="n">
        <x:f>'Assumptions'!$G$55*'Assumptions'!$G$56*(1+'Assumptions'!$G$40)/12</x:f>
        <x:v>10000</x:v>
      </x:c>
      <x:c r="AF38" s="173" t="n">
        <x:f>'Assumptions'!$G$55*'Assumptions'!$G$56*(1+'Assumptions'!$G$40)/12</x:f>
        <x:v>10000</x:v>
      </x:c>
      <x:c r="AG38" s="173" t="n">
        <x:f>'Assumptions'!$G$55*'Assumptions'!$G$56*(1+'Assumptions'!$G$40)/12</x:f>
        <x:v>10000</x:v>
      </x:c>
      <x:c r="AH38" s="173" t="n">
        <x:f>'Assumptions'!$G$55*'Assumptions'!$G$56*(1+'Assumptions'!$G$40)/12</x:f>
        <x:v>10000</x:v>
      </x:c>
      <x:c r="AI38" s="173" t="n">
        <x:f>'Assumptions'!$G$55*'Assumptions'!$G$56*(1+'Assumptions'!$G$40)/12</x:f>
        <x:v>10000</x:v>
      </x:c>
      <x:c r="AJ38" s="173" t="n">
        <x:f>'Assumptions'!$G$55*'Assumptions'!$G$56*(1+'Assumptions'!$G$40)/12</x:f>
        <x:v>10000</x:v>
      </x:c>
      <x:c r="AK38" s="173" t="n">
        <x:f>'Assumptions'!$G$55*'Assumptions'!$G$56*(1+'Assumptions'!$G$40)/12</x:f>
        <x:v>10000</x:v>
      </x:c>
    </x:row>
    <x:row r="39">
      <x:c r="A39" s="185" t="str">
        <x:v>Partnerships &amp; grant development</x:v>
      </x:c>
      <x:c r="B39" s="173" t="n">
        <x:f>'Assumptions'!$G$57*'Assumptions'!$G$58*(1+'Assumptions'!$G$40)/12</x:f>
        <x:v>13000</x:v>
      </x:c>
      <x:c r="C39" s="173" t="n">
        <x:f>'Assumptions'!$G$57*'Assumptions'!$G$58*(1+'Assumptions'!$G$40)/12</x:f>
        <x:v>13000</x:v>
      </x:c>
      <x:c r="D39" s="173" t="n">
        <x:f>'Assumptions'!$G$57*'Assumptions'!$G$58*(1+'Assumptions'!$G$40)/12</x:f>
        <x:v>13000</x:v>
      </x:c>
      <x:c r="E39" s="173" t="n">
        <x:f>'Assumptions'!$G$57*'Assumptions'!$G$58*(1+'Assumptions'!$G$40)/12</x:f>
        <x:v>13000</x:v>
      </x:c>
      <x:c r="F39" s="173" t="n">
        <x:f>'Assumptions'!$G$57*'Assumptions'!$G$58*(1+'Assumptions'!$G$40)/12</x:f>
        <x:v>13000</x:v>
      </x:c>
      <x:c r="G39" s="173" t="n">
        <x:f>'Assumptions'!$G$57*'Assumptions'!$G$58*(1+'Assumptions'!$G$40)/12</x:f>
        <x:v>13000</x:v>
      </x:c>
      <x:c r="H39" s="173" t="n">
        <x:f>'Assumptions'!$G$57*'Assumptions'!$G$58*(1+'Assumptions'!$G$40)/12</x:f>
        <x:v>13000</x:v>
      </x:c>
      <x:c r="I39" s="173" t="n">
        <x:f>'Assumptions'!$G$57*'Assumptions'!$G$58*(1+'Assumptions'!$G$40)/12</x:f>
        <x:v>13000</x:v>
      </x:c>
      <x:c r="J39" s="173" t="n">
        <x:f>'Assumptions'!$G$57*'Assumptions'!$G$58*(1+'Assumptions'!$G$40)/12</x:f>
        <x:v>13000</x:v>
      </x:c>
      <x:c r="K39" s="173" t="n">
        <x:f>'Assumptions'!$G$57*'Assumptions'!$G$58*(1+'Assumptions'!$G$40)/12</x:f>
        <x:v>13000</x:v>
      </x:c>
      <x:c r="L39" s="173" t="n">
        <x:f>'Assumptions'!$G$57*'Assumptions'!$G$58*(1+'Assumptions'!$G$40)/12</x:f>
        <x:v>13000</x:v>
      </x:c>
      <x:c r="M39" s="173" t="n">
        <x:f>'Assumptions'!$G$57*'Assumptions'!$G$58*(1+'Assumptions'!$G$40)/12</x:f>
        <x:v>13000</x:v>
      </x:c>
      <x:c r="N39" s="173" t="n">
        <x:f>'Assumptions'!$G$57*'Assumptions'!$G$58*(1+'Assumptions'!$G$40)/12</x:f>
        <x:v>13000</x:v>
      </x:c>
      <x:c r="O39" s="173" t="n">
        <x:f>'Assumptions'!$G$57*'Assumptions'!$G$58*(1+'Assumptions'!$G$40)/12</x:f>
        <x:v>13000</x:v>
      </x:c>
      <x:c r="P39" s="173" t="n">
        <x:f>'Assumptions'!$G$57*'Assumptions'!$G$58*(1+'Assumptions'!$G$40)/12</x:f>
        <x:v>13000</x:v>
      </x:c>
      <x:c r="Q39" s="173" t="n">
        <x:f>'Assumptions'!$G$57*'Assumptions'!$G$58*(1+'Assumptions'!$G$40)/12</x:f>
        <x:v>13000</x:v>
      </x:c>
      <x:c r="R39" s="173" t="n">
        <x:f>'Assumptions'!$G$57*'Assumptions'!$G$58*(1+'Assumptions'!$G$40)/12</x:f>
        <x:v>13000</x:v>
      </x:c>
      <x:c r="S39" s="173" t="n">
        <x:f>'Assumptions'!$G$57*'Assumptions'!$G$58*(1+'Assumptions'!$G$40)/12</x:f>
        <x:v>13000</x:v>
      </x:c>
      <x:c r="T39" s="173" t="n">
        <x:f>'Assumptions'!$G$57*'Assumptions'!$G$58*(1+'Assumptions'!$G$40)/12</x:f>
        <x:v>13000</x:v>
      </x:c>
      <x:c r="U39" s="173" t="n">
        <x:f>'Assumptions'!$G$57*'Assumptions'!$G$58*(1+'Assumptions'!$G$40)/12</x:f>
        <x:v>13000</x:v>
      </x:c>
      <x:c r="V39" s="173" t="n">
        <x:f>'Assumptions'!$G$57*'Assumptions'!$G$58*(1+'Assumptions'!$G$40)/12</x:f>
        <x:v>13000</x:v>
      </x:c>
      <x:c r="W39" s="173" t="n">
        <x:f>'Assumptions'!$G$57*'Assumptions'!$G$58*(1+'Assumptions'!$G$40)/12</x:f>
        <x:v>13000</x:v>
      </x:c>
      <x:c r="X39" s="173" t="n">
        <x:f>'Assumptions'!$G$57*'Assumptions'!$G$58*(1+'Assumptions'!$G$40)/12</x:f>
        <x:v>13000</x:v>
      </x:c>
      <x:c r="Y39" s="173" t="n">
        <x:f>'Assumptions'!$G$57*'Assumptions'!$G$58*(1+'Assumptions'!$G$40)/12</x:f>
        <x:v>13000</x:v>
      </x:c>
      <x:c r="Z39" s="173" t="n">
        <x:f>'Assumptions'!$G$57*'Assumptions'!$G$58*(1+'Assumptions'!$G$40)/12</x:f>
        <x:v>13000</x:v>
      </x:c>
      <x:c r="AA39" s="173" t="n">
        <x:f>'Assumptions'!$G$57*'Assumptions'!$G$58*(1+'Assumptions'!$G$40)/12</x:f>
        <x:v>13000</x:v>
      </x:c>
      <x:c r="AB39" s="173" t="n">
        <x:f>'Assumptions'!$G$57*'Assumptions'!$G$58*(1+'Assumptions'!$G$40)/12</x:f>
        <x:v>13000</x:v>
      </x:c>
      <x:c r="AC39" s="173" t="n">
        <x:f>'Assumptions'!$G$57*'Assumptions'!$G$58*(1+'Assumptions'!$G$40)/12</x:f>
        <x:v>13000</x:v>
      </x:c>
      <x:c r="AD39" s="173" t="n">
        <x:f>'Assumptions'!$G$57*'Assumptions'!$G$58*(1+'Assumptions'!$G$40)/12</x:f>
        <x:v>13000</x:v>
      </x:c>
      <x:c r="AE39" s="173" t="n">
        <x:f>'Assumptions'!$G$57*'Assumptions'!$G$58*(1+'Assumptions'!$G$40)/12</x:f>
        <x:v>13000</x:v>
      </x:c>
      <x:c r="AF39" s="173" t="n">
        <x:f>'Assumptions'!$G$57*'Assumptions'!$G$58*(1+'Assumptions'!$G$40)/12</x:f>
        <x:v>13000</x:v>
      </x:c>
      <x:c r="AG39" s="173" t="n">
        <x:f>'Assumptions'!$G$57*'Assumptions'!$G$58*(1+'Assumptions'!$G$40)/12</x:f>
        <x:v>13000</x:v>
      </x:c>
      <x:c r="AH39" s="173" t="n">
        <x:f>'Assumptions'!$G$57*'Assumptions'!$G$58*(1+'Assumptions'!$G$40)/12</x:f>
        <x:v>13000</x:v>
      </x:c>
      <x:c r="AI39" s="173" t="n">
        <x:f>'Assumptions'!$G$57*'Assumptions'!$G$58*(1+'Assumptions'!$G$40)/12</x:f>
        <x:v>13000</x:v>
      </x:c>
      <x:c r="AJ39" s="173" t="n">
        <x:f>'Assumptions'!$G$57*'Assumptions'!$G$58*(1+'Assumptions'!$G$40)/12</x:f>
        <x:v>13000</x:v>
      </x:c>
      <x:c r="AK39" s="173" t="n">
        <x:f>'Assumptions'!$G$57*'Assumptions'!$G$58*(1+'Assumptions'!$G$40)/12</x:f>
        <x:v>13000</x:v>
      </x:c>
    </x:row>
    <x:row r="40">
      <x:c r="A40" s="185" t="str">
        <x:v>Community support</x:v>
      </x:c>
      <x:c r="B40" s="173" t="n">
        <x:f>'Assumptions'!$G$59*'Assumptions'!$G$60*(1+'Assumptions'!$G$40)/12</x:f>
        <x:v>8500</x:v>
      </x:c>
      <x:c r="C40" s="173" t="n">
        <x:f>'Assumptions'!$G$59*'Assumptions'!$G$60*(1+'Assumptions'!$G$40)/12</x:f>
        <x:v>8500</x:v>
      </x:c>
      <x:c r="D40" s="173" t="n">
        <x:f>'Assumptions'!$G$59*'Assumptions'!$G$60*(1+'Assumptions'!$G$40)/12</x:f>
        <x:v>8500</x:v>
      </x:c>
      <x:c r="E40" s="173" t="n">
        <x:f>'Assumptions'!$G$59*'Assumptions'!$G$60*(1+'Assumptions'!$G$40)/12</x:f>
        <x:v>8500</x:v>
      </x:c>
      <x:c r="F40" s="173" t="n">
        <x:f>'Assumptions'!$G$59*'Assumptions'!$G$60*(1+'Assumptions'!$G$40)/12</x:f>
        <x:v>8500</x:v>
      </x:c>
      <x:c r="G40" s="173" t="n">
        <x:f>'Assumptions'!$G$59*'Assumptions'!$G$60*(1+'Assumptions'!$G$40)/12</x:f>
        <x:v>8500</x:v>
      </x:c>
      <x:c r="H40" s="173" t="n">
        <x:f>'Assumptions'!$G$59*'Assumptions'!$G$60*(1+'Assumptions'!$G$40)/12</x:f>
        <x:v>8500</x:v>
      </x:c>
      <x:c r="I40" s="173" t="n">
        <x:f>'Assumptions'!$G$59*'Assumptions'!$G$60*(1+'Assumptions'!$G$40)/12</x:f>
        <x:v>8500</x:v>
      </x:c>
      <x:c r="J40" s="173" t="n">
        <x:f>'Assumptions'!$G$59*'Assumptions'!$G$60*(1+'Assumptions'!$G$40)/12</x:f>
        <x:v>8500</x:v>
      </x:c>
      <x:c r="K40" s="173" t="n">
        <x:f>'Assumptions'!$G$59*'Assumptions'!$G$60*(1+'Assumptions'!$G$40)/12</x:f>
        <x:v>8500</x:v>
      </x:c>
      <x:c r="L40" s="173" t="n">
        <x:f>'Assumptions'!$G$59*'Assumptions'!$G$60*(1+'Assumptions'!$G$40)/12</x:f>
        <x:v>8500</x:v>
      </x:c>
      <x:c r="M40" s="173" t="n">
        <x:f>'Assumptions'!$G$59*'Assumptions'!$G$60*(1+'Assumptions'!$G$40)/12</x:f>
        <x:v>8500</x:v>
      </x:c>
      <x:c r="N40" s="173" t="n">
        <x:f>'Assumptions'!$G$59*'Assumptions'!$G$60*(1+'Assumptions'!$G$40)/12</x:f>
        <x:v>8500</x:v>
      </x:c>
      <x:c r="O40" s="173" t="n">
        <x:f>'Assumptions'!$G$59*'Assumptions'!$G$60*(1+'Assumptions'!$G$40)/12</x:f>
        <x:v>8500</x:v>
      </x:c>
      <x:c r="P40" s="173" t="n">
        <x:f>'Assumptions'!$G$59*'Assumptions'!$G$60*(1+'Assumptions'!$G$40)/12</x:f>
        <x:v>8500</x:v>
      </x:c>
      <x:c r="Q40" s="173" t="n">
        <x:f>'Assumptions'!$G$59*'Assumptions'!$G$60*(1+'Assumptions'!$G$40)/12</x:f>
        <x:v>8500</x:v>
      </x:c>
      <x:c r="R40" s="173" t="n">
        <x:f>'Assumptions'!$G$59*'Assumptions'!$G$60*(1+'Assumptions'!$G$40)/12</x:f>
        <x:v>8500</x:v>
      </x:c>
      <x:c r="S40" s="173" t="n">
        <x:f>'Assumptions'!$G$59*'Assumptions'!$G$60*(1+'Assumptions'!$G$40)/12</x:f>
        <x:v>8500</x:v>
      </x:c>
      <x:c r="T40" s="173" t="n">
        <x:f>'Assumptions'!$G$59*'Assumptions'!$G$60*(1+'Assumptions'!$G$40)/12</x:f>
        <x:v>8500</x:v>
      </x:c>
      <x:c r="U40" s="173" t="n">
        <x:f>'Assumptions'!$G$59*'Assumptions'!$G$60*(1+'Assumptions'!$G$40)/12</x:f>
        <x:v>8500</x:v>
      </x:c>
      <x:c r="V40" s="173" t="n">
        <x:f>'Assumptions'!$G$59*'Assumptions'!$G$60*(1+'Assumptions'!$G$40)/12</x:f>
        <x:v>8500</x:v>
      </x:c>
      <x:c r="W40" s="173" t="n">
        <x:f>'Assumptions'!$G$59*'Assumptions'!$G$60*(1+'Assumptions'!$G$40)/12</x:f>
        <x:v>8500</x:v>
      </x:c>
      <x:c r="X40" s="173" t="n">
        <x:f>'Assumptions'!$G$59*'Assumptions'!$G$60*(1+'Assumptions'!$G$40)/12</x:f>
        <x:v>8500</x:v>
      </x:c>
      <x:c r="Y40" s="173" t="n">
        <x:f>'Assumptions'!$G$59*'Assumptions'!$G$60*(1+'Assumptions'!$G$40)/12</x:f>
        <x:v>8500</x:v>
      </x:c>
      <x:c r="Z40" s="173" t="n">
        <x:f>'Assumptions'!$G$59*'Assumptions'!$G$60*(1+'Assumptions'!$G$40)/12</x:f>
        <x:v>8500</x:v>
      </x:c>
      <x:c r="AA40" s="173" t="n">
        <x:f>'Assumptions'!$G$59*'Assumptions'!$G$60*(1+'Assumptions'!$G$40)/12</x:f>
        <x:v>8500</x:v>
      </x:c>
      <x:c r="AB40" s="173" t="n">
        <x:f>'Assumptions'!$G$59*'Assumptions'!$G$60*(1+'Assumptions'!$G$40)/12</x:f>
        <x:v>8500</x:v>
      </x:c>
      <x:c r="AC40" s="173" t="n">
        <x:f>'Assumptions'!$G$59*'Assumptions'!$G$60*(1+'Assumptions'!$G$40)/12</x:f>
        <x:v>8500</x:v>
      </x:c>
      <x:c r="AD40" s="173" t="n">
        <x:f>'Assumptions'!$G$59*'Assumptions'!$G$60*(1+'Assumptions'!$G$40)/12</x:f>
        <x:v>8500</x:v>
      </x:c>
      <x:c r="AE40" s="173" t="n">
        <x:f>'Assumptions'!$G$59*'Assumptions'!$G$60*(1+'Assumptions'!$G$40)/12</x:f>
        <x:v>8500</x:v>
      </x:c>
      <x:c r="AF40" s="173" t="n">
        <x:f>'Assumptions'!$G$59*'Assumptions'!$G$60*(1+'Assumptions'!$G$40)/12</x:f>
        <x:v>8500</x:v>
      </x:c>
      <x:c r="AG40" s="173" t="n">
        <x:f>'Assumptions'!$G$59*'Assumptions'!$G$60*(1+'Assumptions'!$G$40)/12</x:f>
        <x:v>8500</x:v>
      </x:c>
      <x:c r="AH40" s="173" t="n">
        <x:f>'Assumptions'!$G$59*'Assumptions'!$G$60*(1+'Assumptions'!$G$40)/12</x:f>
        <x:v>8500</x:v>
      </x:c>
      <x:c r="AI40" s="173" t="n">
        <x:f>'Assumptions'!$G$59*'Assumptions'!$G$60*(1+'Assumptions'!$G$40)/12</x:f>
        <x:v>8500</x:v>
      </x:c>
      <x:c r="AJ40" s="173" t="n">
        <x:f>'Assumptions'!$G$59*'Assumptions'!$G$60*(1+'Assumptions'!$G$40)/12</x:f>
        <x:v>8500</x:v>
      </x:c>
      <x:c r="AK40" s="173" t="n">
        <x:f>'Assumptions'!$G$59*'Assumptions'!$G$60*(1+'Assumptions'!$G$40)/12</x:f>
        <x:v>8500</x:v>
      </x:c>
    </x:row>
    <x:row r="41">
      <x:c r="A41" s="185" t="str">
        <x:v>Legal, privacy &amp; compliance</x:v>
      </x:c>
      <x:c r="B41" s="173" t="n">
        <x:f>'Assumptions'!$G$63</x:f>
        <x:v>8000</x:v>
      </x:c>
      <x:c r="C41" s="173" t="n">
        <x:f>'Assumptions'!$G$63</x:f>
        <x:v>8000</x:v>
      </x:c>
      <x:c r="D41" s="173" t="n">
        <x:f>'Assumptions'!$G$63</x:f>
        <x:v>8000</x:v>
      </x:c>
      <x:c r="E41" s="173" t="n">
        <x:f>'Assumptions'!$G$63</x:f>
        <x:v>8000</x:v>
      </x:c>
      <x:c r="F41" s="173" t="n">
        <x:f>'Assumptions'!$G$63</x:f>
        <x:v>8000</x:v>
      </x:c>
      <x:c r="G41" s="173" t="n">
        <x:f>'Assumptions'!$G$63</x:f>
        <x:v>8000</x:v>
      </x:c>
      <x:c r="H41" s="173" t="n">
        <x:f>'Assumptions'!$G$63</x:f>
        <x:v>8000</x:v>
      </x:c>
      <x:c r="I41" s="173" t="n">
        <x:f>'Assumptions'!$G$63</x:f>
        <x:v>8000</x:v>
      </x:c>
      <x:c r="J41" s="173" t="n">
        <x:f>'Assumptions'!$G$63</x:f>
        <x:v>8000</x:v>
      </x:c>
      <x:c r="K41" s="173" t="n">
        <x:f>'Assumptions'!$G$63</x:f>
        <x:v>8000</x:v>
      </x:c>
      <x:c r="L41" s="173" t="n">
        <x:f>'Assumptions'!$G$63</x:f>
        <x:v>8000</x:v>
      </x:c>
      <x:c r="M41" s="173" t="n">
        <x:f>'Assumptions'!$G$63</x:f>
        <x:v>8000</x:v>
      </x:c>
      <x:c r="N41" s="173" t="n">
        <x:f>'Assumptions'!$G$63</x:f>
        <x:v>8000</x:v>
      </x:c>
      <x:c r="O41" s="173" t="n">
        <x:f>'Assumptions'!$G$63</x:f>
        <x:v>8000</x:v>
      </x:c>
      <x:c r="P41" s="173" t="n">
        <x:f>'Assumptions'!$G$63</x:f>
        <x:v>8000</x:v>
      </x:c>
      <x:c r="Q41" s="173" t="n">
        <x:f>'Assumptions'!$G$63</x:f>
        <x:v>8000</x:v>
      </x:c>
      <x:c r="R41" s="173" t="n">
        <x:f>'Assumptions'!$G$63</x:f>
        <x:v>8000</x:v>
      </x:c>
      <x:c r="S41" s="173" t="n">
        <x:f>'Assumptions'!$G$63</x:f>
        <x:v>8000</x:v>
      </x:c>
      <x:c r="T41" s="173" t="n">
        <x:f>'Assumptions'!$G$63</x:f>
        <x:v>8000</x:v>
      </x:c>
      <x:c r="U41" s="173" t="n">
        <x:f>'Assumptions'!$G$63</x:f>
        <x:v>8000</x:v>
      </x:c>
      <x:c r="V41" s="173" t="n">
        <x:f>'Assumptions'!$G$63</x:f>
        <x:v>8000</x:v>
      </x:c>
      <x:c r="W41" s="173" t="n">
        <x:f>'Assumptions'!$G$63</x:f>
        <x:v>8000</x:v>
      </x:c>
      <x:c r="X41" s="173" t="n">
        <x:f>'Assumptions'!$G$63</x:f>
        <x:v>8000</x:v>
      </x:c>
      <x:c r="Y41" s="173" t="n">
        <x:f>'Assumptions'!$G$63</x:f>
        <x:v>8000</x:v>
      </x:c>
      <x:c r="Z41" s="173" t="n">
        <x:f>'Assumptions'!$G$63</x:f>
        <x:v>8000</x:v>
      </x:c>
      <x:c r="AA41" s="173" t="n">
        <x:f>'Assumptions'!$G$63</x:f>
        <x:v>8000</x:v>
      </x:c>
      <x:c r="AB41" s="173" t="n">
        <x:f>'Assumptions'!$G$63</x:f>
        <x:v>8000</x:v>
      </x:c>
      <x:c r="AC41" s="173" t="n">
        <x:f>'Assumptions'!$G$63</x:f>
        <x:v>8000</x:v>
      </x:c>
      <x:c r="AD41" s="173" t="n">
        <x:f>'Assumptions'!$G$63</x:f>
        <x:v>8000</x:v>
      </x:c>
      <x:c r="AE41" s="173" t="n">
        <x:f>'Assumptions'!$G$63</x:f>
        <x:v>8000</x:v>
      </x:c>
      <x:c r="AF41" s="173" t="n">
        <x:f>'Assumptions'!$G$63</x:f>
        <x:v>8000</x:v>
      </x:c>
      <x:c r="AG41" s="173" t="n">
        <x:f>'Assumptions'!$G$63</x:f>
        <x:v>8000</x:v>
      </x:c>
      <x:c r="AH41" s="173" t="n">
        <x:f>'Assumptions'!$G$63</x:f>
        <x:v>8000</x:v>
      </x:c>
      <x:c r="AI41" s="173" t="n">
        <x:f>'Assumptions'!$G$63</x:f>
        <x:v>8000</x:v>
      </x:c>
      <x:c r="AJ41" s="173" t="n">
        <x:f>'Assumptions'!$G$63</x:f>
        <x:v>8000</x:v>
      </x:c>
      <x:c r="AK41" s="173" t="n">
        <x:f>'Assumptions'!$G$63</x:f>
        <x:v>8000</x:v>
      </x:c>
    </x:row>
    <x:row r="42">
      <x:c r="A42" s="185" t="str">
        <x:v>Insurance</x:v>
      </x:c>
      <x:c r="B42" s="173" t="n">
        <x:f>'Assumptions'!$G$64</x:f>
        <x:v>3000</x:v>
      </x:c>
      <x:c r="C42" s="173" t="n">
        <x:f>'Assumptions'!$G$64</x:f>
        <x:v>3000</x:v>
      </x:c>
      <x:c r="D42" s="173" t="n">
        <x:f>'Assumptions'!$G$64</x:f>
        <x:v>3000</x:v>
      </x:c>
      <x:c r="E42" s="173" t="n">
        <x:f>'Assumptions'!$G$64</x:f>
        <x:v>3000</x:v>
      </x:c>
      <x:c r="F42" s="173" t="n">
        <x:f>'Assumptions'!$G$64</x:f>
        <x:v>3000</x:v>
      </x:c>
      <x:c r="G42" s="173" t="n">
        <x:f>'Assumptions'!$G$64</x:f>
        <x:v>3000</x:v>
      </x:c>
      <x:c r="H42" s="173" t="n">
        <x:f>'Assumptions'!$G$64</x:f>
        <x:v>3000</x:v>
      </x:c>
      <x:c r="I42" s="173" t="n">
        <x:f>'Assumptions'!$G$64</x:f>
        <x:v>3000</x:v>
      </x:c>
      <x:c r="J42" s="173" t="n">
        <x:f>'Assumptions'!$G$64</x:f>
        <x:v>3000</x:v>
      </x:c>
      <x:c r="K42" s="173" t="n">
        <x:f>'Assumptions'!$G$64</x:f>
        <x:v>3000</x:v>
      </x:c>
      <x:c r="L42" s="173" t="n">
        <x:f>'Assumptions'!$G$64</x:f>
        <x:v>3000</x:v>
      </x:c>
      <x:c r="M42" s="173" t="n">
        <x:f>'Assumptions'!$G$64</x:f>
        <x:v>3000</x:v>
      </x:c>
      <x:c r="N42" s="173" t="n">
        <x:f>'Assumptions'!$G$64</x:f>
        <x:v>3000</x:v>
      </x:c>
      <x:c r="O42" s="173" t="n">
        <x:f>'Assumptions'!$G$64</x:f>
        <x:v>3000</x:v>
      </x:c>
      <x:c r="P42" s="173" t="n">
        <x:f>'Assumptions'!$G$64</x:f>
        <x:v>3000</x:v>
      </x:c>
      <x:c r="Q42" s="173" t="n">
        <x:f>'Assumptions'!$G$64</x:f>
        <x:v>3000</x:v>
      </x:c>
      <x:c r="R42" s="173" t="n">
        <x:f>'Assumptions'!$G$64</x:f>
        <x:v>3000</x:v>
      </x:c>
      <x:c r="S42" s="173" t="n">
        <x:f>'Assumptions'!$G$64</x:f>
        <x:v>3000</x:v>
      </x:c>
      <x:c r="T42" s="173" t="n">
        <x:f>'Assumptions'!$G$64</x:f>
        <x:v>3000</x:v>
      </x:c>
      <x:c r="U42" s="173" t="n">
        <x:f>'Assumptions'!$G$64</x:f>
        <x:v>3000</x:v>
      </x:c>
      <x:c r="V42" s="173" t="n">
        <x:f>'Assumptions'!$G$64</x:f>
        <x:v>3000</x:v>
      </x:c>
      <x:c r="W42" s="173" t="n">
        <x:f>'Assumptions'!$G$64</x:f>
        <x:v>3000</x:v>
      </x:c>
      <x:c r="X42" s="173" t="n">
        <x:f>'Assumptions'!$G$64</x:f>
        <x:v>3000</x:v>
      </x:c>
      <x:c r="Y42" s="173" t="n">
        <x:f>'Assumptions'!$G$64</x:f>
        <x:v>3000</x:v>
      </x:c>
      <x:c r="Z42" s="173" t="n">
        <x:f>'Assumptions'!$G$64</x:f>
        <x:v>3000</x:v>
      </x:c>
      <x:c r="AA42" s="173" t="n">
        <x:f>'Assumptions'!$G$64</x:f>
        <x:v>3000</x:v>
      </x:c>
      <x:c r="AB42" s="173" t="n">
        <x:f>'Assumptions'!$G$64</x:f>
        <x:v>3000</x:v>
      </x:c>
      <x:c r="AC42" s="173" t="n">
        <x:f>'Assumptions'!$G$64</x:f>
        <x:v>3000</x:v>
      </x:c>
      <x:c r="AD42" s="173" t="n">
        <x:f>'Assumptions'!$G$64</x:f>
        <x:v>3000</x:v>
      </x:c>
      <x:c r="AE42" s="173" t="n">
        <x:f>'Assumptions'!$G$64</x:f>
        <x:v>3000</x:v>
      </x:c>
      <x:c r="AF42" s="173" t="n">
        <x:f>'Assumptions'!$G$64</x:f>
        <x:v>3000</x:v>
      </x:c>
      <x:c r="AG42" s="173" t="n">
        <x:f>'Assumptions'!$G$64</x:f>
        <x:v>3000</x:v>
      </x:c>
      <x:c r="AH42" s="173" t="n">
        <x:f>'Assumptions'!$G$64</x:f>
        <x:v>3000</x:v>
      </x:c>
      <x:c r="AI42" s="173" t="n">
        <x:f>'Assumptions'!$G$64</x:f>
        <x:v>3000</x:v>
      </x:c>
      <x:c r="AJ42" s="173" t="n">
        <x:f>'Assumptions'!$G$64</x:f>
        <x:v>3000</x:v>
      </x:c>
      <x:c r="AK42" s="173" t="n">
        <x:f>'Assumptions'!$G$64</x:f>
        <x:v>3000</x:v>
      </x:c>
    </x:row>
    <x:row r="43">
      <x:c r="A43" s="185" t="str">
        <x:v>Accounting &amp; administration</x:v>
      </x:c>
      <x:c r="B43" s="173" t="n">
        <x:f>'Assumptions'!$G$65</x:f>
        <x:v>2500</x:v>
      </x:c>
      <x:c r="C43" s="173" t="n">
        <x:f>'Assumptions'!$G$65</x:f>
        <x:v>2500</x:v>
      </x:c>
      <x:c r="D43" s="173" t="n">
        <x:f>'Assumptions'!$G$65</x:f>
        <x:v>2500</x:v>
      </x:c>
      <x:c r="E43" s="173" t="n">
        <x:f>'Assumptions'!$G$65</x:f>
        <x:v>2500</x:v>
      </x:c>
      <x:c r="F43" s="173" t="n">
        <x:f>'Assumptions'!$G$65</x:f>
        <x:v>2500</x:v>
      </x:c>
      <x:c r="G43" s="173" t="n">
        <x:f>'Assumptions'!$G$65</x:f>
        <x:v>2500</x:v>
      </x:c>
      <x:c r="H43" s="173" t="n">
        <x:f>'Assumptions'!$G$65</x:f>
        <x:v>2500</x:v>
      </x:c>
      <x:c r="I43" s="173" t="n">
        <x:f>'Assumptions'!$G$65</x:f>
        <x:v>2500</x:v>
      </x:c>
      <x:c r="J43" s="173" t="n">
        <x:f>'Assumptions'!$G$65</x:f>
        <x:v>2500</x:v>
      </x:c>
      <x:c r="K43" s="173" t="n">
        <x:f>'Assumptions'!$G$65</x:f>
        <x:v>2500</x:v>
      </x:c>
      <x:c r="L43" s="173" t="n">
        <x:f>'Assumptions'!$G$65</x:f>
        <x:v>2500</x:v>
      </x:c>
      <x:c r="M43" s="173" t="n">
        <x:f>'Assumptions'!$G$65</x:f>
        <x:v>2500</x:v>
      </x:c>
      <x:c r="N43" s="173" t="n">
        <x:f>'Assumptions'!$G$65</x:f>
        <x:v>2500</x:v>
      </x:c>
      <x:c r="O43" s="173" t="n">
        <x:f>'Assumptions'!$G$65</x:f>
        <x:v>2500</x:v>
      </x:c>
      <x:c r="P43" s="173" t="n">
        <x:f>'Assumptions'!$G$65</x:f>
        <x:v>2500</x:v>
      </x:c>
      <x:c r="Q43" s="173" t="n">
        <x:f>'Assumptions'!$G$65</x:f>
        <x:v>2500</x:v>
      </x:c>
      <x:c r="R43" s="173" t="n">
        <x:f>'Assumptions'!$G$65</x:f>
        <x:v>2500</x:v>
      </x:c>
      <x:c r="S43" s="173" t="n">
        <x:f>'Assumptions'!$G$65</x:f>
        <x:v>2500</x:v>
      </x:c>
      <x:c r="T43" s="173" t="n">
        <x:f>'Assumptions'!$G$65</x:f>
        <x:v>2500</x:v>
      </x:c>
      <x:c r="U43" s="173" t="n">
        <x:f>'Assumptions'!$G$65</x:f>
        <x:v>2500</x:v>
      </x:c>
      <x:c r="V43" s="173" t="n">
        <x:f>'Assumptions'!$G$65</x:f>
        <x:v>2500</x:v>
      </x:c>
      <x:c r="W43" s="173" t="n">
        <x:f>'Assumptions'!$G$65</x:f>
        <x:v>2500</x:v>
      </x:c>
      <x:c r="X43" s="173" t="n">
        <x:f>'Assumptions'!$G$65</x:f>
        <x:v>2500</x:v>
      </x:c>
      <x:c r="Y43" s="173" t="n">
        <x:f>'Assumptions'!$G$65</x:f>
        <x:v>2500</x:v>
      </x:c>
      <x:c r="Z43" s="173" t="n">
        <x:f>'Assumptions'!$G$65</x:f>
        <x:v>2500</x:v>
      </x:c>
      <x:c r="AA43" s="173" t="n">
        <x:f>'Assumptions'!$G$65</x:f>
        <x:v>2500</x:v>
      </x:c>
      <x:c r="AB43" s="173" t="n">
        <x:f>'Assumptions'!$G$65</x:f>
        <x:v>2500</x:v>
      </x:c>
      <x:c r="AC43" s="173" t="n">
        <x:f>'Assumptions'!$G$65</x:f>
        <x:v>2500</x:v>
      </x:c>
      <x:c r="AD43" s="173" t="n">
        <x:f>'Assumptions'!$G$65</x:f>
        <x:v>2500</x:v>
      </x:c>
      <x:c r="AE43" s="173" t="n">
        <x:f>'Assumptions'!$G$65</x:f>
        <x:v>2500</x:v>
      </x:c>
      <x:c r="AF43" s="173" t="n">
        <x:f>'Assumptions'!$G$65</x:f>
        <x:v>2500</x:v>
      </x:c>
      <x:c r="AG43" s="173" t="n">
        <x:f>'Assumptions'!$G$65</x:f>
        <x:v>2500</x:v>
      </x:c>
      <x:c r="AH43" s="173" t="n">
        <x:f>'Assumptions'!$G$65</x:f>
        <x:v>2500</x:v>
      </x:c>
      <x:c r="AI43" s="173" t="n">
        <x:f>'Assumptions'!$G$65</x:f>
        <x:v>2500</x:v>
      </x:c>
      <x:c r="AJ43" s="173" t="n">
        <x:f>'Assumptions'!$G$65</x:f>
        <x:v>2500</x:v>
      </x:c>
      <x:c r="AK43" s="173" t="n">
        <x:f>'Assumptions'!$G$65</x:f>
        <x:v>2500</x:v>
      </x:c>
    </x:row>
    <x:row r="44">
      <x:c r="A44" s="185" t="str">
        <x:v>Security &amp; accessibility assurance</x:v>
      </x:c>
      <x:c r="B44" s="173" t="n">
        <x:f>'Assumptions'!$G$66</x:f>
        <x:v>4000</x:v>
      </x:c>
      <x:c r="C44" s="173" t="n">
        <x:f>'Assumptions'!$G$66</x:f>
        <x:v>4000</x:v>
      </x:c>
      <x:c r="D44" s="173" t="n">
        <x:f>'Assumptions'!$G$66</x:f>
        <x:v>4000</x:v>
      </x:c>
      <x:c r="E44" s="173" t="n">
        <x:f>'Assumptions'!$G$66</x:f>
        <x:v>4000</x:v>
      </x:c>
      <x:c r="F44" s="173" t="n">
        <x:f>'Assumptions'!$G$66</x:f>
        <x:v>4000</x:v>
      </x:c>
      <x:c r="G44" s="173" t="n">
        <x:f>'Assumptions'!$G$66</x:f>
        <x:v>4000</x:v>
      </x:c>
      <x:c r="H44" s="173" t="n">
        <x:f>'Assumptions'!$G$66</x:f>
        <x:v>4000</x:v>
      </x:c>
      <x:c r="I44" s="173" t="n">
        <x:f>'Assumptions'!$G$66</x:f>
        <x:v>4000</x:v>
      </x:c>
      <x:c r="J44" s="173" t="n">
        <x:f>'Assumptions'!$G$66</x:f>
        <x:v>4000</x:v>
      </x:c>
      <x:c r="K44" s="173" t="n">
        <x:f>'Assumptions'!$G$66</x:f>
        <x:v>4000</x:v>
      </x:c>
      <x:c r="L44" s="173" t="n">
        <x:f>'Assumptions'!$G$66</x:f>
        <x:v>4000</x:v>
      </x:c>
      <x:c r="M44" s="173" t="n">
        <x:f>'Assumptions'!$G$66</x:f>
        <x:v>4000</x:v>
      </x:c>
      <x:c r="N44" s="173" t="n">
        <x:f>'Assumptions'!$G$66</x:f>
        <x:v>4000</x:v>
      </x:c>
      <x:c r="O44" s="173" t="n">
        <x:f>'Assumptions'!$G$66</x:f>
        <x:v>4000</x:v>
      </x:c>
      <x:c r="P44" s="173" t="n">
        <x:f>'Assumptions'!$G$66</x:f>
        <x:v>4000</x:v>
      </x:c>
      <x:c r="Q44" s="173" t="n">
        <x:f>'Assumptions'!$G$66</x:f>
        <x:v>4000</x:v>
      </x:c>
      <x:c r="R44" s="173" t="n">
        <x:f>'Assumptions'!$G$66</x:f>
        <x:v>4000</x:v>
      </x:c>
      <x:c r="S44" s="173" t="n">
        <x:f>'Assumptions'!$G$66</x:f>
        <x:v>4000</x:v>
      </x:c>
      <x:c r="T44" s="173" t="n">
        <x:f>'Assumptions'!$G$66</x:f>
        <x:v>4000</x:v>
      </x:c>
      <x:c r="U44" s="173" t="n">
        <x:f>'Assumptions'!$G$66</x:f>
        <x:v>4000</x:v>
      </x:c>
      <x:c r="V44" s="173" t="n">
        <x:f>'Assumptions'!$G$66</x:f>
        <x:v>4000</x:v>
      </x:c>
      <x:c r="W44" s="173" t="n">
        <x:f>'Assumptions'!$G$66</x:f>
        <x:v>4000</x:v>
      </x:c>
      <x:c r="X44" s="173" t="n">
        <x:f>'Assumptions'!$G$66</x:f>
        <x:v>4000</x:v>
      </x:c>
      <x:c r="Y44" s="173" t="n">
        <x:f>'Assumptions'!$G$66</x:f>
        <x:v>4000</x:v>
      </x:c>
      <x:c r="Z44" s="173" t="n">
        <x:f>'Assumptions'!$G$66</x:f>
        <x:v>4000</x:v>
      </x:c>
      <x:c r="AA44" s="173" t="n">
        <x:f>'Assumptions'!$G$66</x:f>
        <x:v>4000</x:v>
      </x:c>
      <x:c r="AB44" s="173" t="n">
        <x:f>'Assumptions'!$G$66</x:f>
        <x:v>4000</x:v>
      </x:c>
      <x:c r="AC44" s="173" t="n">
        <x:f>'Assumptions'!$G$66</x:f>
        <x:v>4000</x:v>
      </x:c>
      <x:c r="AD44" s="173" t="n">
        <x:f>'Assumptions'!$G$66</x:f>
        <x:v>4000</x:v>
      </x:c>
      <x:c r="AE44" s="173" t="n">
        <x:f>'Assumptions'!$G$66</x:f>
        <x:v>4000</x:v>
      </x:c>
      <x:c r="AF44" s="173" t="n">
        <x:f>'Assumptions'!$G$66</x:f>
        <x:v>4000</x:v>
      </x:c>
      <x:c r="AG44" s="173" t="n">
        <x:f>'Assumptions'!$G$66</x:f>
        <x:v>4000</x:v>
      </x:c>
      <x:c r="AH44" s="173" t="n">
        <x:f>'Assumptions'!$G$66</x:f>
        <x:v>4000</x:v>
      </x:c>
      <x:c r="AI44" s="173" t="n">
        <x:f>'Assumptions'!$G$66</x:f>
        <x:v>4000</x:v>
      </x:c>
      <x:c r="AJ44" s="173" t="n">
        <x:f>'Assumptions'!$G$66</x:f>
        <x:v>4000</x:v>
      </x:c>
      <x:c r="AK44" s="173" t="n">
        <x:f>'Assumptions'!$G$66</x:f>
        <x:v>4000</x:v>
      </x:c>
    </x:row>
    <x:row r="45">
      <x:c r="A45" s="185" t="str">
        <x:v>Marketing, grants &amp; tenders</x:v>
      </x:c>
      <x:c r="B45" s="173" t="n">
        <x:f>'Assumptions'!$G$67</x:f>
        <x:v>8000</x:v>
      </x:c>
      <x:c r="C45" s="173" t="n">
        <x:f>'Assumptions'!$G$67</x:f>
        <x:v>8000</x:v>
      </x:c>
      <x:c r="D45" s="173" t="n">
        <x:f>'Assumptions'!$G$67</x:f>
        <x:v>8000</x:v>
      </x:c>
      <x:c r="E45" s="173" t="n">
        <x:f>'Assumptions'!$G$67</x:f>
        <x:v>8000</x:v>
      </x:c>
      <x:c r="F45" s="173" t="n">
        <x:f>'Assumptions'!$G$67</x:f>
        <x:v>8000</x:v>
      </x:c>
      <x:c r="G45" s="173" t="n">
        <x:f>'Assumptions'!$G$67</x:f>
        <x:v>8000</x:v>
      </x:c>
      <x:c r="H45" s="173" t="n">
        <x:f>'Assumptions'!$G$67</x:f>
        <x:v>8000</x:v>
      </x:c>
      <x:c r="I45" s="173" t="n">
        <x:f>'Assumptions'!$G$67</x:f>
        <x:v>8000</x:v>
      </x:c>
      <x:c r="J45" s="173" t="n">
        <x:f>'Assumptions'!$G$67</x:f>
        <x:v>8000</x:v>
      </x:c>
      <x:c r="K45" s="173" t="n">
        <x:f>'Assumptions'!$G$67</x:f>
        <x:v>8000</x:v>
      </x:c>
      <x:c r="L45" s="173" t="n">
        <x:f>'Assumptions'!$G$67</x:f>
        <x:v>8000</x:v>
      </x:c>
      <x:c r="M45" s="173" t="n">
        <x:f>'Assumptions'!$G$67</x:f>
        <x:v>8000</x:v>
      </x:c>
      <x:c r="N45" s="173" t="n">
        <x:f>'Assumptions'!$G$67</x:f>
        <x:v>8000</x:v>
      </x:c>
      <x:c r="O45" s="173" t="n">
        <x:f>'Assumptions'!$G$67</x:f>
        <x:v>8000</x:v>
      </x:c>
      <x:c r="P45" s="173" t="n">
        <x:f>'Assumptions'!$G$67</x:f>
        <x:v>8000</x:v>
      </x:c>
      <x:c r="Q45" s="173" t="n">
        <x:f>'Assumptions'!$G$67</x:f>
        <x:v>8000</x:v>
      </x:c>
      <x:c r="R45" s="173" t="n">
        <x:f>'Assumptions'!$G$67</x:f>
        <x:v>8000</x:v>
      </x:c>
      <x:c r="S45" s="173" t="n">
        <x:f>'Assumptions'!$G$67</x:f>
        <x:v>8000</x:v>
      </x:c>
      <x:c r="T45" s="173" t="n">
        <x:f>'Assumptions'!$G$67</x:f>
        <x:v>8000</x:v>
      </x:c>
      <x:c r="U45" s="173" t="n">
        <x:f>'Assumptions'!$G$67</x:f>
        <x:v>8000</x:v>
      </x:c>
      <x:c r="V45" s="173" t="n">
        <x:f>'Assumptions'!$G$67</x:f>
        <x:v>8000</x:v>
      </x:c>
      <x:c r="W45" s="173" t="n">
        <x:f>'Assumptions'!$G$67</x:f>
        <x:v>8000</x:v>
      </x:c>
      <x:c r="X45" s="173" t="n">
        <x:f>'Assumptions'!$G$67</x:f>
        <x:v>8000</x:v>
      </x:c>
      <x:c r="Y45" s="173" t="n">
        <x:f>'Assumptions'!$G$67</x:f>
        <x:v>8000</x:v>
      </x:c>
      <x:c r="Z45" s="173" t="n">
        <x:f>'Assumptions'!$G$67</x:f>
        <x:v>8000</x:v>
      </x:c>
      <x:c r="AA45" s="173" t="n">
        <x:f>'Assumptions'!$G$67</x:f>
        <x:v>8000</x:v>
      </x:c>
      <x:c r="AB45" s="173" t="n">
        <x:f>'Assumptions'!$G$67</x:f>
        <x:v>8000</x:v>
      </x:c>
      <x:c r="AC45" s="173" t="n">
        <x:f>'Assumptions'!$G$67</x:f>
        <x:v>8000</x:v>
      </x:c>
      <x:c r="AD45" s="173" t="n">
        <x:f>'Assumptions'!$G$67</x:f>
        <x:v>8000</x:v>
      </x:c>
      <x:c r="AE45" s="173" t="n">
        <x:f>'Assumptions'!$G$67</x:f>
        <x:v>8000</x:v>
      </x:c>
      <x:c r="AF45" s="173" t="n">
        <x:f>'Assumptions'!$G$67</x:f>
        <x:v>8000</x:v>
      </x:c>
      <x:c r="AG45" s="173" t="n">
        <x:f>'Assumptions'!$G$67</x:f>
        <x:v>8000</x:v>
      </x:c>
      <x:c r="AH45" s="173" t="n">
        <x:f>'Assumptions'!$G$67</x:f>
        <x:v>8000</x:v>
      </x:c>
      <x:c r="AI45" s="173" t="n">
        <x:f>'Assumptions'!$G$67</x:f>
        <x:v>8000</x:v>
      </x:c>
      <x:c r="AJ45" s="173" t="n">
        <x:f>'Assumptions'!$G$67</x:f>
        <x:v>8000</x:v>
      </x:c>
      <x:c r="AK45" s="173" t="n">
        <x:f>'Assumptions'!$G$67</x:f>
        <x:v>8000</x:v>
      </x:c>
    </x:row>
    <x:row r="46">
      <x:c r="A46" s="185" t="str">
        <x:v>Software, monitoring &amp; support tools</x:v>
      </x:c>
      <x:c r="B46" s="173" t="n">
        <x:f>'Assumptions'!$G$68</x:f>
        <x:v>3000</x:v>
      </x:c>
      <x:c r="C46" s="173" t="n">
        <x:f>'Assumptions'!$G$68</x:f>
        <x:v>3000</x:v>
      </x:c>
      <x:c r="D46" s="173" t="n">
        <x:f>'Assumptions'!$G$68</x:f>
        <x:v>3000</x:v>
      </x:c>
      <x:c r="E46" s="173" t="n">
        <x:f>'Assumptions'!$G$68</x:f>
        <x:v>3000</x:v>
      </x:c>
      <x:c r="F46" s="173" t="n">
        <x:f>'Assumptions'!$G$68</x:f>
        <x:v>3000</x:v>
      </x:c>
      <x:c r="G46" s="173" t="n">
        <x:f>'Assumptions'!$G$68</x:f>
        <x:v>3000</x:v>
      </x:c>
      <x:c r="H46" s="173" t="n">
        <x:f>'Assumptions'!$G$68</x:f>
        <x:v>3000</x:v>
      </x:c>
      <x:c r="I46" s="173" t="n">
        <x:f>'Assumptions'!$G$68</x:f>
        <x:v>3000</x:v>
      </x:c>
      <x:c r="J46" s="173" t="n">
        <x:f>'Assumptions'!$G$68</x:f>
        <x:v>3000</x:v>
      </x:c>
      <x:c r="K46" s="173" t="n">
        <x:f>'Assumptions'!$G$68</x:f>
        <x:v>3000</x:v>
      </x:c>
      <x:c r="L46" s="173" t="n">
        <x:f>'Assumptions'!$G$68</x:f>
        <x:v>3000</x:v>
      </x:c>
      <x:c r="M46" s="173" t="n">
        <x:f>'Assumptions'!$G$68</x:f>
        <x:v>3000</x:v>
      </x:c>
      <x:c r="N46" s="173" t="n">
        <x:f>'Assumptions'!$G$68</x:f>
        <x:v>3000</x:v>
      </x:c>
      <x:c r="O46" s="173" t="n">
        <x:f>'Assumptions'!$G$68</x:f>
        <x:v>3000</x:v>
      </x:c>
      <x:c r="P46" s="173" t="n">
        <x:f>'Assumptions'!$G$68</x:f>
        <x:v>3000</x:v>
      </x:c>
      <x:c r="Q46" s="173" t="n">
        <x:f>'Assumptions'!$G$68</x:f>
        <x:v>3000</x:v>
      </x:c>
      <x:c r="R46" s="173" t="n">
        <x:f>'Assumptions'!$G$68</x:f>
        <x:v>3000</x:v>
      </x:c>
      <x:c r="S46" s="173" t="n">
        <x:f>'Assumptions'!$G$68</x:f>
        <x:v>3000</x:v>
      </x:c>
      <x:c r="T46" s="173" t="n">
        <x:f>'Assumptions'!$G$68</x:f>
        <x:v>3000</x:v>
      </x:c>
      <x:c r="U46" s="173" t="n">
        <x:f>'Assumptions'!$G$68</x:f>
        <x:v>3000</x:v>
      </x:c>
      <x:c r="V46" s="173" t="n">
        <x:f>'Assumptions'!$G$68</x:f>
        <x:v>3000</x:v>
      </x:c>
      <x:c r="W46" s="173" t="n">
        <x:f>'Assumptions'!$G$68</x:f>
        <x:v>3000</x:v>
      </x:c>
      <x:c r="X46" s="173" t="n">
        <x:f>'Assumptions'!$G$68</x:f>
        <x:v>3000</x:v>
      </x:c>
      <x:c r="Y46" s="173" t="n">
        <x:f>'Assumptions'!$G$68</x:f>
        <x:v>3000</x:v>
      </x:c>
      <x:c r="Z46" s="173" t="n">
        <x:f>'Assumptions'!$G$68</x:f>
        <x:v>3000</x:v>
      </x:c>
      <x:c r="AA46" s="173" t="n">
        <x:f>'Assumptions'!$G$68</x:f>
        <x:v>3000</x:v>
      </x:c>
      <x:c r="AB46" s="173" t="n">
        <x:f>'Assumptions'!$G$68</x:f>
        <x:v>3000</x:v>
      </x:c>
      <x:c r="AC46" s="173" t="n">
        <x:f>'Assumptions'!$G$68</x:f>
        <x:v>3000</x:v>
      </x:c>
      <x:c r="AD46" s="173" t="n">
        <x:f>'Assumptions'!$G$68</x:f>
        <x:v>3000</x:v>
      </x:c>
      <x:c r="AE46" s="173" t="n">
        <x:f>'Assumptions'!$G$68</x:f>
        <x:v>3000</x:v>
      </x:c>
      <x:c r="AF46" s="173" t="n">
        <x:f>'Assumptions'!$G$68</x:f>
        <x:v>3000</x:v>
      </x:c>
      <x:c r="AG46" s="173" t="n">
        <x:f>'Assumptions'!$G$68</x:f>
        <x:v>3000</x:v>
      </x:c>
      <x:c r="AH46" s="173" t="n">
        <x:f>'Assumptions'!$G$68</x:f>
        <x:v>3000</x:v>
      </x:c>
      <x:c r="AI46" s="173" t="n">
        <x:f>'Assumptions'!$G$68</x:f>
        <x:v>3000</x:v>
      </x:c>
      <x:c r="AJ46" s="173" t="n">
        <x:f>'Assumptions'!$G$68</x:f>
        <x:v>3000</x:v>
      </x:c>
      <x:c r="AK46" s="173" t="n">
        <x:f>'Assumptions'!$G$68</x:f>
        <x:v>3000</x:v>
      </x:c>
    </x:row>
    <x:row r="47">
      <x:c r="A47" s="185" t="str">
        <x:v>Research programme</x:v>
      </x:c>
      <x:c r="B47" s="173" t="n">
        <x:f>SUMIF('Research Plan'!$B$8:$B$13,B$4,'Research Plan'!$N$8:$N$13)</x:f>
        <x:v>0</x:v>
      </x:c>
      <x:c r="C47" s="173" t="n">
        <x:f>SUMIF('Research Plan'!$B$8:$B$13,C$4,'Research Plan'!$N$8:$N$13)</x:f>
        <x:v>6710.000000000001</x:v>
      </x:c>
      <x:c r="D47" s="173" t="n">
        <x:f>SUMIF('Research Plan'!$B$8:$B$13,D$4,'Research Plan'!$N$8:$N$13)</x:f>
        <x:v>0</x:v>
      </x:c>
      <x:c r="E47" s="173" t="n">
        <x:f>SUMIF('Research Plan'!$B$8:$B$13,E$4,'Research Plan'!$N$8:$N$13)</x:f>
        <x:v>6050.000000000001</x:v>
      </x:c>
      <x:c r="F47" s="173" t="n">
        <x:f>SUMIF('Research Plan'!$B$8:$B$13,F$4,'Research Plan'!$N$8:$N$13)</x:f>
        <x:v>0</x:v>
      </x:c>
      <x:c r="G47" s="173" t="n">
        <x:f>SUMIF('Research Plan'!$B$8:$B$13,G$4,'Research Plan'!$N$8:$N$13)</x:f>
        <x:v>0</x:v>
      </x:c>
      <x:c r="H47" s="173" t="n">
        <x:f>SUMIF('Research Plan'!$B$8:$B$13,H$4,'Research Plan'!$N$8:$N$13)</x:f>
        <x:v>9900</x:v>
      </x:c>
      <x:c r="I47" s="173" t="n">
        <x:f>SUMIF('Research Plan'!$B$8:$B$13,I$4,'Research Plan'!$N$8:$N$13)</x:f>
        <x:v>0</x:v>
      </x:c>
      <x:c r="J47" s="173" t="n">
        <x:f>SUMIF('Research Plan'!$B$8:$B$13,J$4,'Research Plan'!$N$8:$N$13)</x:f>
        <x:v>0</x:v>
      </x:c>
      <x:c r="K47" s="173" t="n">
        <x:f>SUMIF('Research Plan'!$B$8:$B$13,K$4,'Research Plan'!$N$8:$N$13)</x:f>
        <x:v>23650.000000000004</x:v>
      </x:c>
      <x:c r="L47" s="173" t="n">
        <x:f>SUMIF('Research Plan'!$B$8:$B$13,L$4,'Research Plan'!$N$8:$N$13)</x:f>
        <x:v>0</x:v>
      </x:c>
      <x:c r="M47" s="173" t="n">
        <x:f>SUMIF('Research Plan'!$B$8:$B$13,M$4,'Research Plan'!$N$8:$N$13)</x:f>
        <x:v>0</x:v>
      </x:c>
      <x:c r="N47" s="173" t="n">
        <x:f>SUMIF('Research Plan'!$B$8:$B$13,N$4,'Research Plan'!$N$8:$N$13)</x:f>
        <x:v>0</x:v>
      </x:c>
      <x:c r="O47" s="173" t="n">
        <x:f>SUMIF('Research Plan'!$B$8:$B$13,O$4,'Research Plan'!$N$8:$N$13)</x:f>
        <x:v>0</x:v>
      </x:c>
      <x:c r="P47" s="173" t="n">
        <x:f>SUMIF('Research Plan'!$B$8:$B$13,P$4,'Research Plan'!$N$8:$N$13)</x:f>
        <x:v>0</x:v>
      </x:c>
      <x:c r="Q47" s="173" t="n">
        <x:f>SUMIF('Research Plan'!$B$8:$B$13,Q$4,'Research Plan'!$N$8:$N$13)</x:f>
        <x:v>0</x:v>
      </x:c>
      <x:c r="R47" s="173" t="n">
        <x:f>SUMIF('Research Plan'!$B$8:$B$13,R$4,'Research Plan'!$N$8:$N$13)</x:f>
        <x:v>0</x:v>
      </x:c>
      <x:c r="S47" s="173" t="n">
        <x:f>SUMIF('Research Plan'!$B$8:$B$13,S$4,'Research Plan'!$N$8:$N$13)</x:f>
        <x:v>85250</x:v>
      </x:c>
      <x:c r="T47" s="173" t="n">
        <x:f>SUMIF('Research Plan'!$B$8:$B$13,T$4,'Research Plan'!$N$8:$N$13)</x:f>
        <x:v>0</x:v>
      </x:c>
      <x:c r="U47" s="173" t="n">
        <x:f>SUMIF('Research Plan'!$B$8:$B$13,U$4,'Research Plan'!$N$8:$N$13)</x:f>
        <x:v>0</x:v>
      </x:c>
      <x:c r="V47" s="173" t="n">
        <x:f>SUMIF('Research Plan'!$B$8:$B$13,V$4,'Research Plan'!$N$8:$N$13)</x:f>
        <x:v>0</x:v>
      </x:c>
      <x:c r="W47" s="173" t="n">
        <x:f>SUMIF('Research Plan'!$B$8:$B$13,W$4,'Research Plan'!$N$8:$N$13)</x:f>
        <x:v>0</x:v>
      </x:c>
      <x:c r="X47" s="173" t="n">
        <x:f>SUMIF('Research Plan'!$B$8:$B$13,X$4,'Research Plan'!$N$8:$N$13)</x:f>
        <x:v>0</x:v>
      </x:c>
      <x:c r="Y47" s="173" t="n">
        <x:f>SUMIF('Research Plan'!$B$8:$B$13,Y$4,'Research Plan'!$N$8:$N$13)</x:f>
        <x:v>0</x:v>
      </x:c>
      <x:c r="Z47" s="173" t="n">
        <x:f>SUMIF('Research Plan'!$B$8:$B$13,Z$4,'Research Plan'!$N$8:$N$13)</x:f>
        <x:v>0</x:v>
      </x:c>
      <x:c r="AA47" s="173" t="n">
        <x:f>SUMIF('Research Plan'!$B$8:$B$13,AA$4,'Research Plan'!$N$8:$N$13)</x:f>
        <x:v>0</x:v>
      </x:c>
      <x:c r="AB47" s="173" t="n">
        <x:f>SUMIF('Research Plan'!$B$8:$B$13,AB$4,'Research Plan'!$N$8:$N$13)</x:f>
        <x:v>163900</x:v>
      </x:c>
      <x:c r="AC47" s="173" t="n">
        <x:f>SUMIF('Research Plan'!$B$8:$B$13,AC$4,'Research Plan'!$N$8:$N$13)</x:f>
        <x:v>0</x:v>
      </x:c>
      <x:c r="AD47" s="173" t="n">
        <x:f>SUMIF('Research Plan'!$B$8:$B$13,AD$4,'Research Plan'!$N$8:$N$13)</x:f>
        <x:v>0</x:v>
      </x:c>
      <x:c r="AE47" s="173" t="n">
        <x:f>SUMIF('Research Plan'!$B$8:$B$13,AE$4,'Research Plan'!$N$8:$N$13)</x:f>
        <x:v>0</x:v>
      </x:c>
      <x:c r="AF47" s="173" t="n">
        <x:f>SUMIF('Research Plan'!$B$8:$B$13,AF$4,'Research Plan'!$N$8:$N$13)</x:f>
        <x:v>0</x:v>
      </x:c>
      <x:c r="AG47" s="173" t="n">
        <x:f>SUMIF('Research Plan'!$B$8:$B$13,AG$4,'Research Plan'!$N$8:$N$13)</x:f>
        <x:v>0</x:v>
      </x:c>
      <x:c r="AH47" s="173" t="n">
        <x:f>SUMIF('Research Plan'!$B$8:$B$13,AH$4,'Research Plan'!$N$8:$N$13)</x:f>
        <x:v>0</x:v>
      </x:c>
      <x:c r="AI47" s="173" t="n">
        <x:f>SUMIF('Research Plan'!$B$8:$B$13,AI$4,'Research Plan'!$N$8:$N$13)</x:f>
        <x:v>0</x:v>
      </x:c>
      <x:c r="AJ47" s="173" t="n">
        <x:f>SUMIF('Research Plan'!$B$8:$B$13,AJ$4,'Research Plan'!$N$8:$N$13)</x:f>
        <x:v>0</x:v>
      </x:c>
      <x:c r="AK47" s="173" t="n">
        <x:f>SUMIF('Research Plan'!$B$8:$B$13,AK$4,'Research Plan'!$N$8:$N$13)</x:f>
        <x:v>0</x:v>
      </x:c>
    </x:row>
    <x:row r="48">
      <x:c r="A48" s="185" t="str">
        <x:v>Other costs + GIF royalties + industry guest rooms</x:v>
      </x:c>
      <x:c r="B48" s="173" t="n">
        <x:f>'Assumptions'!$G$69+'Assumptions'!$G$73+('Assumptions'!$G$74*'Assumptions'!$G$75)</x:f>
        <x:v>6600</x:v>
      </x:c>
      <x:c r="C48" s="173" t="n">
        <x:f>'Assumptions'!$G$69+'Assumptions'!$G$73+('Assumptions'!$G$74*'Assumptions'!$G$75)</x:f>
        <x:v>6600</x:v>
      </x:c>
      <x:c r="D48" s="173" t="n">
        <x:f>'Assumptions'!$G$69+'Assumptions'!$G$73+('Assumptions'!$G$74*'Assumptions'!$G$75)</x:f>
        <x:v>6600</x:v>
      </x:c>
      <x:c r="E48" s="173" t="n">
        <x:f>'Assumptions'!$G$69+'Assumptions'!$G$73+('Assumptions'!$G$74*'Assumptions'!$G$75)</x:f>
        <x:v>6600</x:v>
      </x:c>
      <x:c r="F48" s="173" t="n">
        <x:f>'Assumptions'!$G$69+'Assumptions'!$G$73+('Assumptions'!$G$74*'Assumptions'!$G$75)</x:f>
        <x:v>6600</x:v>
      </x:c>
      <x:c r="G48" s="173" t="n">
        <x:f>'Assumptions'!$G$69+'Assumptions'!$G$73+('Assumptions'!$G$74*'Assumptions'!$G$75)</x:f>
        <x:v>6600</x:v>
      </x:c>
      <x:c r="H48" s="173" t="n">
        <x:f>'Assumptions'!$G$69+'Assumptions'!$G$73+('Assumptions'!$G$74*'Assumptions'!$G$75)</x:f>
        <x:v>6600</x:v>
      </x:c>
      <x:c r="I48" s="173" t="n">
        <x:f>'Assumptions'!$G$69+'Assumptions'!$G$73+('Assumptions'!$G$74*'Assumptions'!$G$75)</x:f>
        <x:v>6600</x:v>
      </x:c>
      <x:c r="J48" s="173" t="n">
        <x:f>'Assumptions'!$G$69+'Assumptions'!$G$73+('Assumptions'!$G$74*'Assumptions'!$G$75)</x:f>
        <x:v>6600</x:v>
      </x:c>
      <x:c r="K48" s="173" t="n">
        <x:f>'Assumptions'!$G$69+'Assumptions'!$G$73+('Assumptions'!$G$74*'Assumptions'!$G$75)</x:f>
        <x:v>6600</x:v>
      </x:c>
      <x:c r="L48" s="173" t="n">
        <x:f>'Assumptions'!$G$69+'Assumptions'!$G$73+('Assumptions'!$G$74*'Assumptions'!$G$75)</x:f>
        <x:v>6600</x:v>
      </x:c>
      <x:c r="M48" s="173" t="n">
        <x:f>'Assumptions'!$G$69+'Assumptions'!$G$73+('Assumptions'!$G$74*'Assumptions'!$G$75)</x:f>
        <x:v>6600</x:v>
      </x:c>
      <x:c r="N48" s="173" t="n">
        <x:f>'Assumptions'!$G$69+'Assumptions'!$G$73+('Assumptions'!$G$74*'Assumptions'!$G$75)</x:f>
        <x:v>6600</x:v>
      </x:c>
      <x:c r="O48" s="173" t="n">
        <x:f>'Assumptions'!$G$69+'Assumptions'!$G$73+('Assumptions'!$G$74*'Assumptions'!$G$75)</x:f>
        <x:v>6600</x:v>
      </x:c>
      <x:c r="P48" s="173" t="n">
        <x:f>'Assumptions'!$G$69+'Assumptions'!$G$73+('Assumptions'!$G$74*'Assumptions'!$G$75)</x:f>
        <x:v>6600</x:v>
      </x:c>
      <x:c r="Q48" s="173" t="n">
        <x:f>'Assumptions'!$G$69+'Assumptions'!$G$73+('Assumptions'!$G$74*'Assumptions'!$G$75)</x:f>
        <x:v>6600</x:v>
      </x:c>
      <x:c r="R48" s="173" t="n">
        <x:f>'Assumptions'!$G$69+'Assumptions'!$G$73+('Assumptions'!$G$74*'Assumptions'!$G$75)</x:f>
        <x:v>6600</x:v>
      </x:c>
      <x:c r="S48" s="173" t="n">
        <x:f>'Assumptions'!$G$69+'Assumptions'!$G$73+('Assumptions'!$G$74*'Assumptions'!$G$75)</x:f>
        <x:v>6600</x:v>
      </x:c>
      <x:c r="T48" s="173" t="n">
        <x:f>'Assumptions'!$G$69+'Assumptions'!$G$73+('Assumptions'!$G$74*'Assumptions'!$G$75)</x:f>
        <x:v>6600</x:v>
      </x:c>
      <x:c r="U48" s="173" t="n">
        <x:f>'Assumptions'!$G$69+'Assumptions'!$G$73+('Assumptions'!$G$74*'Assumptions'!$G$75)</x:f>
        <x:v>6600</x:v>
      </x:c>
      <x:c r="V48" s="173" t="n">
        <x:f>'Assumptions'!$G$69+'Assumptions'!$G$73+('Assumptions'!$G$74*'Assumptions'!$G$75)</x:f>
        <x:v>6600</x:v>
      </x:c>
      <x:c r="W48" s="173" t="n">
        <x:f>'Assumptions'!$G$69+'Assumptions'!$G$73+('Assumptions'!$G$74*'Assumptions'!$G$75)</x:f>
        <x:v>6600</x:v>
      </x:c>
      <x:c r="X48" s="173" t="n">
        <x:f>'Assumptions'!$G$69+'Assumptions'!$G$73+('Assumptions'!$G$74*'Assumptions'!$G$75)</x:f>
        <x:v>6600</x:v>
      </x:c>
      <x:c r="Y48" s="173" t="n">
        <x:f>'Assumptions'!$G$69+'Assumptions'!$G$73+('Assumptions'!$G$74*'Assumptions'!$G$75)</x:f>
        <x:v>6600</x:v>
      </x:c>
      <x:c r="Z48" s="173" t="n">
        <x:f>'Assumptions'!$G$69+'Assumptions'!$G$73+('Assumptions'!$G$74*'Assumptions'!$G$75)</x:f>
        <x:v>6600</x:v>
      </x:c>
      <x:c r="AA48" s="173" t="n">
        <x:f>'Assumptions'!$G$69+'Assumptions'!$G$73+('Assumptions'!$G$74*'Assumptions'!$G$75)</x:f>
        <x:v>6600</x:v>
      </x:c>
      <x:c r="AB48" s="173" t="n">
        <x:f>'Assumptions'!$G$69+'Assumptions'!$G$73+('Assumptions'!$G$74*'Assumptions'!$G$75)</x:f>
        <x:v>6600</x:v>
      </x:c>
      <x:c r="AC48" s="173" t="n">
        <x:f>'Assumptions'!$G$69+'Assumptions'!$G$73+('Assumptions'!$G$74*'Assumptions'!$G$75)</x:f>
        <x:v>6600</x:v>
      </x:c>
      <x:c r="AD48" s="173" t="n">
        <x:f>'Assumptions'!$G$69+'Assumptions'!$G$73+('Assumptions'!$G$74*'Assumptions'!$G$75)</x:f>
        <x:v>6600</x:v>
      </x:c>
      <x:c r="AE48" s="173" t="n">
        <x:f>'Assumptions'!$G$69+'Assumptions'!$G$73+('Assumptions'!$G$74*'Assumptions'!$G$75)</x:f>
        <x:v>6600</x:v>
      </x:c>
      <x:c r="AF48" s="173" t="n">
        <x:f>'Assumptions'!$G$69+'Assumptions'!$G$73+('Assumptions'!$G$74*'Assumptions'!$G$75)</x:f>
        <x:v>6600</x:v>
      </x:c>
      <x:c r="AG48" s="173" t="n">
        <x:f>'Assumptions'!$G$69+'Assumptions'!$G$73+('Assumptions'!$G$74*'Assumptions'!$G$75)</x:f>
        <x:v>6600</x:v>
      </x:c>
      <x:c r="AH48" s="173" t="n">
        <x:f>'Assumptions'!$G$69+'Assumptions'!$G$73+('Assumptions'!$G$74*'Assumptions'!$G$75)</x:f>
        <x:v>6600</x:v>
      </x:c>
      <x:c r="AI48" s="173" t="n">
        <x:f>'Assumptions'!$G$69+'Assumptions'!$G$73+('Assumptions'!$G$74*'Assumptions'!$G$75)</x:f>
        <x:v>6600</x:v>
      </x:c>
      <x:c r="AJ48" s="173" t="n">
        <x:f>'Assumptions'!$G$69+'Assumptions'!$G$73+('Assumptions'!$G$74*'Assumptions'!$G$75)</x:f>
        <x:v>6600</x:v>
      </x:c>
      <x:c r="AK48" s="173" t="n">
        <x:f>'Assumptions'!$G$69+'Assumptions'!$G$73+('Assumptions'!$G$74*'Assumptions'!$G$75)</x:f>
        <x:v>6600</x:v>
      </x:c>
    </x:row>
    <x:row r="49">
      <x:c r="A49" s="186" t="str">
        <x:v>Operating expenses before contingency</x:v>
      </x:c>
      <x:c r="B49" s="179" t="n">
        <x:f>SUM(B30:B48)</x:f>
        <x:v>157551.29666666666</x:v>
      </x:c>
      <x:c r="C49" s="179" t="n">
        <x:f>SUM(C30:C48)</x:f>
        <x:v>164261.29666666666</x:v>
      </x:c>
      <x:c r="D49" s="179" t="n">
        <x:f>SUM(D30:D48)</x:f>
        <x:v>157551.29666666666</x:v>
      </x:c>
      <x:c r="E49" s="179" t="n">
        <x:f>SUM(E30:E48)</x:f>
        <x:v>163601.29666666666</x:v>
      </x:c>
      <x:c r="F49" s="179" t="n">
        <x:f>SUM(F30:F48)</x:f>
        <x:v>157551.29666666666</x:v>
      </x:c>
      <x:c r="G49" s="179" t="n">
        <x:f>SUM(G30:G48)</x:f>
        <x:v>157551.29666666666</x:v>
      </x:c>
      <x:c r="H49" s="179" t="n">
        <x:f>SUM(H30:H48)</x:f>
        <x:v>167451.29666666666</x:v>
      </x:c>
      <x:c r="I49" s="179" t="n">
        <x:f>SUM(I30:I48)</x:f>
        <x:v>157551.29666666666</x:v>
      </x:c>
      <x:c r="J49" s="179" t="n">
        <x:f>SUM(J30:J48)</x:f>
        <x:v>157551.29666666666</x:v>
      </x:c>
      <x:c r="K49" s="179" t="n">
        <x:f>SUM(K30:K48)</x:f>
        <x:v>181201.29666666666</x:v>
      </x:c>
      <x:c r="L49" s="179" t="n">
        <x:f>SUM(L30:L48)</x:f>
        <x:v>157551.29666666666</x:v>
      </x:c>
      <x:c r="M49" s="179" t="n">
        <x:f>SUM(M30:M48)</x:f>
        <x:v>157551.29666666666</x:v>
      </x:c>
      <x:c r="N49" s="179" t="n">
        <x:f>SUM(N30:N48)</x:f>
        <x:v>157551.29666666666</x:v>
      </x:c>
      <x:c r="O49" s="179" t="n">
        <x:f>SUM(O30:O48)</x:f>
        <x:v>157551.29666666666</x:v>
      </x:c>
      <x:c r="P49" s="179" t="n">
        <x:f>SUM(P30:P48)</x:f>
        <x:v>157551.29666666666</x:v>
      </x:c>
      <x:c r="Q49" s="179" t="n">
        <x:f>SUM(Q30:Q48)</x:f>
        <x:v>157551.29666666666</x:v>
      </x:c>
      <x:c r="R49" s="179" t="n">
        <x:f>SUM(R30:R48)</x:f>
        <x:v>157551.29666666666</x:v>
      </x:c>
      <x:c r="S49" s="179" t="n">
        <x:f>SUM(S30:S48)</x:f>
        <x:v>242801.29666666666</x:v>
      </x:c>
      <x:c r="T49" s="179" t="n">
        <x:f>SUM(T30:T48)</x:f>
        <x:v>157551.29666666666</x:v>
      </x:c>
      <x:c r="U49" s="179" t="n">
        <x:f>SUM(U30:U48)</x:f>
        <x:v>157551.29666666666</x:v>
      </x:c>
      <x:c r="V49" s="179" t="n">
        <x:f>SUM(V30:V48)</x:f>
        <x:v>157551.29666666666</x:v>
      </x:c>
      <x:c r="W49" s="179" t="n">
        <x:f>SUM(W30:W48)</x:f>
        <x:v>157551.29666666666</x:v>
      </x:c>
      <x:c r="X49" s="179" t="n">
        <x:f>SUM(X30:X48)</x:f>
        <x:v>157551.29666666666</x:v>
      </x:c>
      <x:c r="Y49" s="179" t="n">
        <x:f>SUM(Y30:Y48)</x:f>
        <x:v>157551.29666666666</x:v>
      </x:c>
      <x:c r="Z49" s="179" t="n">
        <x:f>SUM(Z30:Z48)</x:f>
        <x:v>157551.29666666666</x:v>
      </x:c>
      <x:c r="AA49" s="179" t="n">
        <x:f>SUM(AA30:AA48)</x:f>
        <x:v>157551.29666666666</x:v>
      </x:c>
      <x:c r="AB49" s="179" t="n">
        <x:f>SUM(AB30:AB48)</x:f>
        <x:v>321451.29666666663</x:v>
      </x:c>
      <x:c r="AC49" s="179" t="n">
        <x:f>SUM(AC30:AC48)</x:f>
        <x:v>157551.29666666666</x:v>
      </x:c>
      <x:c r="AD49" s="179" t="n">
        <x:f>SUM(AD30:AD48)</x:f>
        <x:v>157551.29666666666</x:v>
      </x:c>
      <x:c r="AE49" s="179" t="n">
        <x:f>SUM(AE30:AE48)</x:f>
        <x:v>157551.29666666666</x:v>
      </x:c>
      <x:c r="AF49" s="179" t="n">
        <x:f>SUM(AF30:AF48)</x:f>
        <x:v>157551.29666666666</x:v>
      </x:c>
      <x:c r="AG49" s="179" t="n">
        <x:f>SUM(AG30:AG48)</x:f>
        <x:v>157551.29666666666</x:v>
      </x:c>
      <x:c r="AH49" s="179" t="n">
        <x:f>SUM(AH30:AH48)</x:f>
        <x:v>157551.29666666666</x:v>
      </x:c>
      <x:c r="AI49" s="179" t="n">
        <x:f>SUM(AI30:AI48)</x:f>
        <x:v>157551.29666666666</x:v>
      </x:c>
      <x:c r="AJ49" s="179" t="n">
        <x:f>SUM(AJ30:AJ48)</x:f>
        <x:v>157551.29666666666</x:v>
      </x:c>
      <x:c r="AK49" s="179" t="n">
        <x:f>SUM(AK30:AK48)</x:f>
        <x:v>157551.29666666666</x:v>
      </x:c>
    </x:row>
    <x:row r="50">
      <x:c r="A50" s="185" t="str">
        <x:v>Contingency</x:v>
      </x:c>
      <x:c r="B50" s="173" t="n">
        <x:f>B49*'Assumptions'!$G$70</x:f>
        <x:v>15755.129666666668</x:v>
      </x:c>
      <x:c r="C50" s="173" t="n">
        <x:f>C49*'Assumptions'!$G$70</x:f>
        <x:v>16426.129666666668</x:v>
      </x:c>
      <x:c r="D50" s="173" t="n">
        <x:f>D49*'Assumptions'!$G$70</x:f>
        <x:v>15755.129666666668</x:v>
      </x:c>
      <x:c r="E50" s="173" t="n">
        <x:f>E49*'Assumptions'!$G$70</x:f>
        <x:v>16360.129666666668</x:v>
      </x:c>
      <x:c r="F50" s="173" t="n">
        <x:f>F49*'Assumptions'!$G$70</x:f>
        <x:v>15755.129666666668</x:v>
      </x:c>
      <x:c r="G50" s="173" t="n">
        <x:f>G49*'Assumptions'!$G$70</x:f>
        <x:v>15755.129666666668</x:v>
      </x:c>
      <x:c r="H50" s="173" t="n">
        <x:f>H49*'Assumptions'!$G$70</x:f>
        <x:v>16745.129666666668</x:v>
      </x:c>
      <x:c r="I50" s="173" t="n">
        <x:f>I49*'Assumptions'!$G$70</x:f>
        <x:v>15755.129666666668</x:v>
      </x:c>
      <x:c r="J50" s="173" t="n">
        <x:f>J49*'Assumptions'!$G$70</x:f>
        <x:v>15755.129666666668</x:v>
      </x:c>
      <x:c r="K50" s="173" t="n">
        <x:f>K49*'Assumptions'!$G$70</x:f>
        <x:v>18120.129666666668</x:v>
      </x:c>
      <x:c r="L50" s="173" t="n">
        <x:f>L49*'Assumptions'!$G$70</x:f>
        <x:v>15755.129666666668</x:v>
      </x:c>
      <x:c r="M50" s="173" t="n">
        <x:f>M49*'Assumptions'!$G$70</x:f>
        <x:v>15755.129666666668</x:v>
      </x:c>
      <x:c r="N50" s="173" t="n">
        <x:f>N49*'Assumptions'!$G$70</x:f>
        <x:v>15755.129666666668</x:v>
      </x:c>
      <x:c r="O50" s="173" t="n">
        <x:f>O49*'Assumptions'!$G$70</x:f>
        <x:v>15755.129666666668</x:v>
      </x:c>
      <x:c r="P50" s="173" t="n">
        <x:f>P49*'Assumptions'!$G$70</x:f>
        <x:v>15755.129666666668</x:v>
      </x:c>
      <x:c r="Q50" s="173" t="n">
        <x:f>Q49*'Assumptions'!$G$70</x:f>
        <x:v>15755.129666666668</x:v>
      </x:c>
      <x:c r="R50" s="173" t="n">
        <x:f>R49*'Assumptions'!$G$70</x:f>
        <x:v>15755.129666666668</x:v>
      </x:c>
      <x:c r="S50" s="173" t="n">
        <x:f>S49*'Assumptions'!$G$70</x:f>
        <x:v>24280.129666666668</x:v>
      </x:c>
      <x:c r="T50" s="173" t="n">
        <x:f>T49*'Assumptions'!$G$70</x:f>
        <x:v>15755.129666666668</x:v>
      </x:c>
      <x:c r="U50" s="173" t="n">
        <x:f>U49*'Assumptions'!$G$70</x:f>
        <x:v>15755.129666666668</x:v>
      </x:c>
      <x:c r="V50" s="173" t="n">
        <x:f>V49*'Assumptions'!$G$70</x:f>
        <x:v>15755.129666666668</x:v>
      </x:c>
      <x:c r="W50" s="173" t="n">
        <x:f>W49*'Assumptions'!$G$70</x:f>
        <x:v>15755.129666666668</x:v>
      </x:c>
      <x:c r="X50" s="173" t="n">
        <x:f>X49*'Assumptions'!$G$70</x:f>
        <x:v>15755.129666666668</x:v>
      </x:c>
      <x:c r="Y50" s="173" t="n">
        <x:f>Y49*'Assumptions'!$G$70</x:f>
        <x:v>15755.129666666668</x:v>
      </x:c>
      <x:c r="Z50" s="173" t="n">
        <x:f>Z49*'Assumptions'!$G$70</x:f>
        <x:v>15755.129666666668</x:v>
      </x:c>
      <x:c r="AA50" s="173" t="n">
        <x:f>AA49*'Assumptions'!$G$70</x:f>
        <x:v>15755.129666666668</x:v>
      </x:c>
      <x:c r="AB50" s="173" t="n">
        <x:f>AB49*'Assumptions'!$G$70</x:f>
        <x:v>32145.129666666664</x:v>
      </x:c>
      <x:c r="AC50" s="173" t="n">
        <x:f>AC49*'Assumptions'!$G$70</x:f>
        <x:v>15755.129666666668</x:v>
      </x:c>
      <x:c r="AD50" s="173" t="n">
        <x:f>AD49*'Assumptions'!$G$70</x:f>
        <x:v>15755.129666666668</x:v>
      </x:c>
      <x:c r="AE50" s="173" t="n">
        <x:f>AE49*'Assumptions'!$G$70</x:f>
        <x:v>15755.129666666668</x:v>
      </x:c>
      <x:c r="AF50" s="173" t="n">
        <x:f>AF49*'Assumptions'!$G$70</x:f>
        <x:v>15755.129666666668</x:v>
      </x:c>
      <x:c r="AG50" s="173" t="n">
        <x:f>AG49*'Assumptions'!$G$70</x:f>
        <x:v>15755.129666666668</x:v>
      </x:c>
      <x:c r="AH50" s="173" t="n">
        <x:f>AH49*'Assumptions'!$G$70</x:f>
        <x:v>15755.129666666668</x:v>
      </x:c>
      <x:c r="AI50" s="173" t="n">
        <x:f>AI49*'Assumptions'!$G$70</x:f>
        <x:v>15755.129666666668</x:v>
      </x:c>
      <x:c r="AJ50" s="173" t="n">
        <x:f>AJ49*'Assumptions'!$G$70</x:f>
        <x:v>15755.129666666668</x:v>
      </x:c>
      <x:c r="AK50" s="173" t="n">
        <x:f>AK49*'Assumptions'!$G$70</x:f>
        <x:v>15755.129666666668</x:v>
      </x:c>
    </x:row>
    <x:row r="51">
      <x:c r="A51" s="186" t="str">
        <x:v>Total operating expenses</x:v>
      </x:c>
      <x:c r="B51" s="179" t="n">
        <x:f>SUM(B49:B50)</x:f>
        <x:v>173306.42633333334</x:v>
      </x:c>
      <x:c r="C51" s="179" t="n">
        <x:f>SUM(C49:C50)</x:f>
        <x:v>180687.42633333334</x:v>
      </x:c>
      <x:c r="D51" s="179" t="n">
        <x:f>SUM(D49:D50)</x:f>
        <x:v>173306.42633333334</x:v>
      </x:c>
      <x:c r="E51" s="179" t="n">
        <x:f>SUM(E49:E50)</x:f>
        <x:v>179961.42633333334</x:v>
      </x:c>
      <x:c r="F51" s="179" t="n">
        <x:f>SUM(F49:F50)</x:f>
        <x:v>173306.42633333334</x:v>
      </x:c>
      <x:c r="G51" s="179" t="n">
        <x:f>SUM(G49:G50)</x:f>
        <x:v>173306.42633333334</x:v>
      </x:c>
      <x:c r="H51" s="179" t="n">
        <x:f>SUM(H49:H50)</x:f>
        <x:v>184196.42633333334</x:v>
      </x:c>
      <x:c r="I51" s="179" t="n">
        <x:f>SUM(I49:I50)</x:f>
        <x:v>173306.42633333334</x:v>
      </x:c>
      <x:c r="J51" s="179" t="n">
        <x:f>SUM(J49:J50)</x:f>
        <x:v>173306.42633333334</x:v>
      </x:c>
      <x:c r="K51" s="179" t="n">
        <x:f>SUM(K49:K50)</x:f>
        <x:v>199321.42633333334</x:v>
      </x:c>
      <x:c r="L51" s="179" t="n">
        <x:f>SUM(L49:L50)</x:f>
        <x:v>173306.42633333334</x:v>
      </x:c>
      <x:c r="M51" s="179" t="n">
        <x:f>SUM(M49:M50)</x:f>
        <x:v>173306.42633333334</x:v>
      </x:c>
      <x:c r="N51" s="179" t="n">
        <x:f>SUM(N49:N50)</x:f>
        <x:v>173306.42633333334</x:v>
      </x:c>
      <x:c r="O51" s="179" t="n">
        <x:f>SUM(O49:O50)</x:f>
        <x:v>173306.42633333334</x:v>
      </x:c>
      <x:c r="P51" s="179" t="n">
        <x:f>SUM(P49:P50)</x:f>
        <x:v>173306.42633333334</x:v>
      </x:c>
      <x:c r="Q51" s="179" t="n">
        <x:f>SUM(Q49:Q50)</x:f>
        <x:v>173306.42633333334</x:v>
      </x:c>
      <x:c r="R51" s="179" t="n">
        <x:f>SUM(R49:R50)</x:f>
        <x:v>173306.42633333334</x:v>
      </x:c>
      <x:c r="S51" s="179" t="n">
        <x:f>SUM(S49:S50)</x:f>
        <x:v>267081.4263333333</x:v>
      </x:c>
      <x:c r="T51" s="179" t="n">
        <x:f>SUM(T49:T50)</x:f>
        <x:v>173306.42633333334</x:v>
      </x:c>
      <x:c r="U51" s="179" t="n">
        <x:f>SUM(U49:U50)</x:f>
        <x:v>173306.42633333334</x:v>
      </x:c>
      <x:c r="V51" s="179" t="n">
        <x:f>SUM(V49:V50)</x:f>
        <x:v>173306.42633333334</x:v>
      </x:c>
      <x:c r="W51" s="179" t="n">
        <x:f>SUM(W49:W50)</x:f>
        <x:v>173306.42633333334</x:v>
      </x:c>
      <x:c r="X51" s="179" t="n">
        <x:f>SUM(X49:X50)</x:f>
        <x:v>173306.42633333334</x:v>
      </x:c>
      <x:c r="Y51" s="179" t="n">
        <x:f>SUM(Y49:Y50)</x:f>
        <x:v>173306.42633333334</x:v>
      </x:c>
      <x:c r="Z51" s="179" t="n">
        <x:f>SUM(Z49:Z50)</x:f>
        <x:v>173306.42633333334</x:v>
      </x:c>
      <x:c r="AA51" s="179" t="n">
        <x:f>SUM(AA49:AA50)</x:f>
        <x:v>173306.42633333334</x:v>
      </x:c>
      <x:c r="AB51" s="179" t="n">
        <x:f>SUM(AB49:AB50)</x:f>
        <x:v>353596.4263333333</x:v>
      </x:c>
      <x:c r="AC51" s="179" t="n">
        <x:f>SUM(AC49:AC50)</x:f>
        <x:v>173306.42633333334</x:v>
      </x:c>
      <x:c r="AD51" s="179" t="n">
        <x:f>SUM(AD49:AD50)</x:f>
        <x:v>173306.42633333334</x:v>
      </x:c>
      <x:c r="AE51" s="179" t="n">
        <x:f>SUM(AE49:AE50)</x:f>
        <x:v>173306.42633333334</x:v>
      </x:c>
      <x:c r="AF51" s="179" t="n">
        <x:f>SUM(AF49:AF50)</x:f>
        <x:v>173306.42633333334</x:v>
      </x:c>
      <x:c r="AG51" s="179" t="n">
        <x:f>SUM(AG49:AG50)</x:f>
        <x:v>173306.42633333334</x:v>
      </x:c>
      <x:c r="AH51" s="179" t="n">
        <x:f>SUM(AH49:AH50)</x:f>
        <x:v>173306.42633333334</x:v>
      </x:c>
      <x:c r="AI51" s="179" t="n">
        <x:f>SUM(AI49:AI50)</x:f>
        <x:v>173306.42633333334</x:v>
      </x:c>
      <x:c r="AJ51" s="179" t="n">
        <x:f>SUM(AJ49:AJ50)</x:f>
        <x:v>173306.42633333334</x:v>
      </x:c>
      <x:c r="AK51" s="179" t="n">
        <x:f>SUM(AK49:AK50)</x:f>
        <x:v>173306.42633333334</x:v>
      </x:c>
    </x:row>
    <x:row r="52">
      <x:c r="A52" s="185"/>
      <x:c r="B52" s="173"/>
      <x:c r="C52" s="173"/>
      <x:c r="D52" s="173"/>
      <x:c r="E52" s="173"/>
      <x:c r="F52" s="173"/>
      <x:c r="G52" s="173"/>
      <x:c r="H52" s="173"/>
      <x:c r="I52" s="173"/>
      <x:c r="J52" s="173"/>
      <x:c r="K52" s="173"/>
      <x:c r="L52" s="173"/>
      <x:c r="M52" s="173"/>
      <x:c r="N52" s="173"/>
      <x:c r="O52" s="173"/>
      <x:c r="P52" s="173"/>
      <x:c r="Q52" s="173"/>
      <x:c r="R52" s="173"/>
      <x:c r="S52" s="173"/>
      <x:c r="T52" s="173"/>
      <x:c r="U52" s="173"/>
      <x:c r="V52" s="173"/>
      <x:c r="W52" s="173"/>
      <x:c r="X52" s="173"/>
      <x:c r="Y52" s="173"/>
      <x:c r="Z52" s="173"/>
      <x:c r="AA52" s="173"/>
      <x:c r="AB52" s="173"/>
      <x:c r="AC52" s="173"/>
      <x:c r="AD52" s="173"/>
      <x:c r="AE52" s="173"/>
      <x:c r="AF52" s="173"/>
      <x:c r="AG52" s="173"/>
      <x:c r="AH52" s="173"/>
      <x:c r="AI52" s="173"/>
      <x:c r="AJ52" s="173"/>
      <x:c r="AK52" s="173"/>
    </x:row>
    <x:row r="53">
      <x:c r="A53" s="188" t="str">
        <x:v>Surplus / (deficit) before mission allocation</x:v>
      </x:c>
      <x:c r="B53" s="183" t="n">
        <x:f>B26-B51</x:f>
        <x:v>-81580.7584067134</x:v>
      </x:c>
      <x:c r="C53" s="183" t="n">
        <x:f>C26-C51</x:f>
        <x:v>-87469.48203727412</x:v>
      </x:c>
      <x:c r="D53" s="183" t="n">
        <x:f>D26-D51</x:f>
        <x:v>-78521.59184936286</x:v>
      </x:c>
      <x:c r="E53" s="183" t="n">
        <x:f>E26-E51</x:f>
        <x:v>-83531.35715205607</x:v>
      </x:c>
      <x:c r="F53" s="183" t="n">
        <x:f>F26-F51</x:f>
        <x:v>-75148.86071988393</x:v>
      </x:c>
      <x:c r="G53" s="183" t="n">
        <x:f>G26-G51</x:f>
        <x:v>-73334.98946610314</x:v>
      </x:c>
      <x:c r="H53" s="183" t="n">
        <x:f>H26-H51</x:f>
        <x:v>-82320.42464963338</x:v>
      </x:c>
      <x:c r="I53" s="183" t="n">
        <x:f>I26-I51</x:f>
        <x:v>-69430.6315923401</x:v>
      </x:c>
      <x:c r="J53" s="183" t="n">
        <x:f>J26-J51</x:f>
        <x:v>-67330.84888218214</x:v>
      </x:c>
      <x:c r="K53" s="183" t="n">
        <x:f>K26-K51</x:f>
        <x:v>-91141.07703651632</x:v>
      </x:c>
      <x:c r="L53" s="183" t="n">
        <x:f>L26-L51</x:f>
        <x:v>-62811.06659856714</x:v>
      </x:c>
      <x:c r="M53" s="183" t="n">
        <x:f>M26-M51</x:f>
        <x:v>-60380.30563872057</x:v>
      </x:c>
      <x:c r="N53" s="183" t="n">
        <x:f>N26-N51</x:f>
        <x:v>-57828.006630881646</x:v>
      </x:c>
      <x:c r="O53" s="183" t="n">
        <x:f>O26-O51</x:f>
        <x:v>-55148.092672650775</x:v>
      </x:c>
      <x:c r="P53" s="183" t="n">
        <x:f>P26-P51</x:f>
        <x:v>-52334.18301650838</x:v>
      </x:c>
      <x:c r="Q53" s="183" t="n">
        <x:f>Q26-Q51</x:f>
        <x:v>-49379.577877558826</x:v>
      </x:c>
      <x:c r="R53" s="183" t="n">
        <x:f>R26-R51</x:f>
        <x:v>-46277.2424816618</x:v>
      </x:c>
      <x:c r="S53" s="183" t="n">
        <x:f>S26-S51</x:f>
        <x:v>-136794.79031596993</x:v>
      </x:c>
      <x:c r="T53" s="183" t="n">
        <x:f>T26-T51</x:f>
        <x:v>-39599.4655419935</x:v>
      </x:c>
      <x:c r="U53" s="183" t="n">
        <x:f>U26-U51</x:f>
        <x:v>-36008.124529318244</x:v>
      </x:c>
      <x:c r="V53" s="183" t="n">
        <x:f>V26-V51</x:f>
        <x:v>-32237.21646600921</x:v>
      </x:c>
      <x:c r="W53" s="183" t="n">
        <x:f>W26-W51</x:f>
        <x:v>-28277.762999534694</x:v>
      </x:c>
      <x:c r="X53" s="183" t="n">
        <x:f>X26-X51</x:f>
        <x:v>-24120.336859736475</x:v>
      </x:c>
      <x:c r="Y53" s="183" t="n">
        <x:f>Y26-Y51</x:f>
        <x:v>-19755.039412948332</x:v>
      </x:c>
      <x:c r="Z53" s="183" t="n">
        <x:f>Z26-Z51</x:f>
        <x:v>-15171.47709382081</x:v>
      </x:c>
      <x:c r="AA53" s="183" t="n">
        <x:f>AA26-AA51</x:f>
        <x:v>-10358.736658736918</x:v>
      </x:c>
      <x:c r="AB53" s="183" t="n">
        <x:f>AB26-AB51</x:f>
        <x:v>-185595.3592018988</x:v>
      </x:c>
      <x:c r="AC53" s="183" t="n">
        <x:f>AC26-AC51</x:f>
        <x:v>0.6871277811878826</x:v>
      </x:c>
      <x:c r="AD53" s="183" t="n">
        <x:f>AD26-AD51</x:f>
        <x:v>5572.035773945245</x:v>
      </x:c>
      <x:c r="AE53" s="183" t="n">
        <x:f>AE26-AE51</x:f>
        <x:v>11421.951852417435</x:v>
      </x:c>
      <x:c r="AF53" s="183" t="n">
        <x:f>AF26-AF51</x:f>
        <x:v>17564.36373481326</x:v>
      </x:c>
      <x:c r="AG53" s="183" t="n">
        <x:f>AG26-AG51</x:f>
        <x:v>24013.896211328858</x:v>
      </x:c>
      <x:c r="AH53" s="183" t="n">
        <x:f>AH26-AH51</x:f>
        <x:v>30785.90531167027</x:v>
      </x:c>
      <x:c r="AI53" s="183" t="n">
        <x:f>AI26-AI51</x:f>
        <x:v>37896.514867028716</x:v>
      </x:c>
      <x:c r="AJ53" s="183" t="n">
        <x:f>AJ26-AJ51</x:f>
        <x:v>45362.65490015506</x:v>
      </x:c>
      <x:c r="AK53" s="183" t="n">
        <x:f>AK26-AK51</x:f>
        <x:v>53202.10193493782</x:v>
      </x:c>
    </x:row>
    <x:row r="54">
      <x:c r="A54" s="185" t="str">
        <x:v>Operating margin</x:v>
      </x:c>
      <x:c r="B54" s="175" t="n">
        <x:f>IF(B12=0,0,B53/B12)</x:f>
        <x:v>-0.5678936229627468</x:v>
      </x:c>
      <x:c r="C54" s="175" t="n">
        <x:f>IF(C12=0,0,C53/C12)</x:f>
        <x:v>-0.6023540084274565</x:v>
      </x:c>
      <x:c r="D54" s="175" t="n">
        <x:f>IF(D12=0,0,D53/D12)</x:f>
        <x:v>-0.534711978702271</x:v>
      </x:c>
      <x:c r="E54" s="175" t="n">
        <x:f>IF(E12=0,0,E53/E12)</x:f>
        <x:v>-0.5622515631900247</x:v>
      </x:c>
      <x:c r="F54" s="175" t="n">
        <x:f>IF(F12=0,0,F53/F12)</x:f>
        <x:v>-0.49976266473530034</x:v>
      </x:c>
      <x:c r="G54" s="175" t="n">
        <x:f>IF(G12=0,0,G53/G12)</x:f>
        <x:v>-0.48163509979606034</x:v>
      </x:c>
      <x:c r="H54" s="175" t="n">
        <x:f>IF(H12=0,0,H53/H12)</x:f>
        <x:v>-0.5336794937853837</x:v>
      </x:c>
      <x:c r="I54" s="175" t="n">
        <x:f>IF(I12=0,0,I53/I12)</x:f>
        <x:v>-0.4441053147751019</x:v>
      </x:c>
      <x:c r="J54" s="175" t="n">
        <x:f>IF(J12=0,0,J53/J12)</x:f>
        <x:v>-0.4247195866256947</x:v>
      </x:c>
      <x:c r="K54" s="175" t="n">
        <x:f>IF(K12=0,0,K53/K12)</x:f>
        <x:v>-0.5666862713147851</x:v>
      </x:c>
      <x:c r="L54" s="175" t="n">
        <x:f>IF(L12=0,0,L53/L12)</x:f>
        <x:v>-0.38475806743383467</x:v>
      </x:c>
      <x:c r="M54" s="175" t="n">
        <x:f>IF(M12=0,0,M53/M12)</x:f>
        <x:v>-0.36420712878832</x:v>
      </x:c>
      <x:c r="N54" s="175" t="n">
        <x:f>IF(N12=0,0,N53/N12)</x:f>
        <x:v>-0.3432949815558422</x:v>
      </x:c>
      <x:c r="O54" s="175" t="n">
        <x:f>IF(O12=0,0,O53/O12)</x:f>
        <x:v>-0.322037549097524</x:v>
      </x:c>
      <x:c r="P54" s="175" t="n">
        <x:f>IF(P12=0,0,P53/P12)</x:f>
        <x:v>-0.300452119452286</x:v>
      </x:c>
      <x:c r="Q54" s="175" t="n">
        <x:f>IF(Q12=0,0,Q53/Q12)</x:f>
        <x:v>-0.2785573101219065</x:v>
      </x:c>
      <x:c r="R54" s="175" t="n">
        <x:f>IF(R12=0,0,R53/R12)</x:f>
        <x:v>-0.25637302217546026</x:v>
      </x:c>
      <x:c r="S54" s="175" t="n">
        <x:f>IF(S12=0,0,S53/S12)</x:f>
        <x:v>-0.7438225430745429</x:v>
      </x:c>
      <x:c r="T54" s="175" t="n">
        <x:f>IF(T12=0,0,T53/T12)</x:f>
        <x:v>-0.21122168256072013</x:v>
      </x:c>
      <x:c r="U54" s="175" t="n">
        <x:f>IF(U12=0,0,U53/U12)</x:f>
        <x:v>-0.18830028929981704</x:v>
      </x:c>
      <x:c r="V54" s="175" t="n">
        <x:f>IF(V12=0,0,V53/V12)</x:f>
        <x:v>-0.16518056971304285</x:v>
      </x:c>
      <x:c r="W54" s="175" t="n">
        <x:f>IF(W12=0,0,W53/W12)</x:f>
        <x:v>-0.1418877885885158</x:v>
      </x:c>
      <x:c r="X54" s="175" t="n">
        <x:f>IF(X12=0,0,X53/X12)</x:f>
        <x:v>-0.11844800479635419</x:v>
      </x:c>
      <x:c r="Y54" s="175" t="n">
        <x:f>IF(Y12=0,0,Y53/Y12)</x:f>
        <x:v>-0.09488795877196031</x:v>
      </x:c>
      <x:c r="Z54" s="175" t="n">
        <x:f>IF(Z12=0,0,Z53/Z12)</x:f>
        <x:v>-0.07123495335419833</x:v>
      </x:c>
      <x:c r="AA54" s="175" t="n">
        <x:f>IF(AA12=0,0,AA53/AA12)</x:f>
        <x:v>-0.047516729075333164</x:v>
      </x:c>
      <x:c r="AB54" s="175" t="n">
        <x:f>IF(AB12=0,0,AB53/AB12)</x:f>
        <x:v>-0.8312337306182997</x:v>
      </x:c>
      <x:c r="AC54" s="175" t="n">
        <x:f>IF(AC12=0,0,AC53/AC12)</x:f>
        <x:v>0.0000030029730723399076</x:v>
      </x:c>
      <x:c r="AD54" s="175" t="n">
        <x:f>IF(AD12=0,0,AD53/AD12)</x:f>
        <x:v>0.02374801697814928</x:v>
      </x:c>
      <x:c r="AE54" s="175" t="n">
        <x:f>IF(AE12=0,0,AE53/AE12)</x:f>
        <x:v>0.04744553062264631</x:v>
      </x:c>
      <x:c r="AF54" s="175" t="n">
        <x:f>IF(AF12=0,0,AF53/AF12)</x:f>
        <x:v>0.0710675928930421</x:v>
      </x:c>
      <x:c r="AG54" s="175" t="n">
        <x:f>IF(AG12=0,0,AG53/AG12)</x:f>
        <x:v>0.09458660923855398</x:v>
      </x:c>
      <x:c r="AH54" s="175" t="n">
        <x:f>IF(AH12=0,0,AH53/AH12)</x:f>
        <x:v>0.11797546918192034</x:v>
      </x:c>
      <x:c r="AI54" s="175" t="n">
        <x:f>IF(AI12=0,0,AI53/AI12)</x:f>
        <x:v>0.1412076691252037</x:v>
      </x:c>
      <x:c r="AJ54" s="175" t="n">
        <x:f>IF(AJ12=0,0,AJ53/AJ12)</x:f>
        <x:v>0.16425742919268121</x:v>
      </x:c>
      <x:c r="AK54" s="175" t="n">
        <x:f>IF(AK12=0,0,AK53/AK12)</x:f>
        <x:v>0.1870998030525248</x:v>
      </x:c>
    </x:row>
    <x:row r="55">
      <x:c r="A55" s="189" t="str">
        <x:v>Monthly funding gap</x:v>
      </x:c>
      <x:c r="B55" s="184" t="n">
        <x:f>MAX(0,-B53)</x:f>
        <x:v>81580.7584067134</x:v>
      </x:c>
      <x:c r="C55" s="184" t="n">
        <x:f>MAX(0,-C53)</x:f>
        <x:v>87469.48203727412</x:v>
      </x:c>
      <x:c r="D55" s="184" t="n">
        <x:f>MAX(0,-D53)</x:f>
        <x:v>78521.59184936286</x:v>
      </x:c>
      <x:c r="E55" s="184" t="n">
        <x:f>MAX(0,-E53)</x:f>
        <x:v>83531.35715205607</x:v>
      </x:c>
      <x:c r="F55" s="184" t="n">
        <x:f>MAX(0,-F53)</x:f>
        <x:v>75148.86071988393</x:v>
      </x:c>
      <x:c r="G55" s="184" t="n">
        <x:f>MAX(0,-G53)</x:f>
        <x:v>73334.98946610314</x:v>
      </x:c>
      <x:c r="H55" s="184" t="n">
        <x:f>MAX(0,-H53)</x:f>
        <x:v>82320.42464963338</x:v>
      </x:c>
      <x:c r="I55" s="184" t="n">
        <x:f>MAX(0,-I53)</x:f>
        <x:v>69430.6315923401</x:v>
      </x:c>
      <x:c r="J55" s="184" t="n">
        <x:f>MAX(0,-J53)</x:f>
        <x:v>67330.84888218214</x:v>
      </x:c>
      <x:c r="K55" s="184" t="n">
        <x:f>MAX(0,-K53)</x:f>
        <x:v>91141.07703651632</x:v>
      </x:c>
      <x:c r="L55" s="184" t="n">
        <x:f>MAX(0,-L53)</x:f>
        <x:v>62811.06659856714</x:v>
      </x:c>
      <x:c r="M55" s="184" t="n">
        <x:f>MAX(0,-M53)</x:f>
        <x:v>60380.30563872057</x:v>
      </x:c>
      <x:c r="N55" s="184" t="n">
        <x:f>MAX(0,-N53)</x:f>
        <x:v>57828.006630881646</x:v>
      </x:c>
      <x:c r="O55" s="184" t="n">
        <x:f>MAX(0,-O53)</x:f>
        <x:v>55148.092672650775</x:v>
      </x:c>
      <x:c r="P55" s="184" t="n">
        <x:f>MAX(0,-P53)</x:f>
        <x:v>52334.18301650838</x:v>
      </x:c>
      <x:c r="Q55" s="184" t="n">
        <x:f>MAX(0,-Q53)</x:f>
        <x:v>49379.577877558826</x:v>
      </x:c>
      <x:c r="R55" s="184" t="n">
        <x:f>MAX(0,-R53)</x:f>
        <x:v>46277.2424816618</x:v>
      </x:c>
      <x:c r="S55" s="184" t="n">
        <x:f>MAX(0,-S53)</x:f>
        <x:v>136794.79031596993</x:v>
      </x:c>
      <x:c r="T55" s="184" t="n">
        <x:f>MAX(0,-T53)</x:f>
        <x:v>39599.4655419935</x:v>
      </x:c>
      <x:c r="U55" s="184" t="n">
        <x:f>MAX(0,-U53)</x:f>
        <x:v>36008.124529318244</x:v>
      </x:c>
      <x:c r="V55" s="184" t="n">
        <x:f>MAX(0,-V53)</x:f>
        <x:v>32237.21646600921</x:v>
      </x:c>
      <x:c r="W55" s="184" t="n">
        <x:f>MAX(0,-W53)</x:f>
        <x:v>28277.762999534694</x:v>
      </x:c>
      <x:c r="X55" s="184" t="n">
        <x:f>MAX(0,-X53)</x:f>
        <x:v>24120.336859736475</x:v>
      </x:c>
      <x:c r="Y55" s="184" t="n">
        <x:f>MAX(0,-Y53)</x:f>
        <x:v>19755.039412948332</x:v>
      </x:c>
      <x:c r="Z55" s="184" t="n">
        <x:f>MAX(0,-Z53)</x:f>
        <x:v>15171.47709382081</x:v>
      </x:c>
      <x:c r="AA55" s="184" t="n">
        <x:f>MAX(0,-AA53)</x:f>
        <x:v>10358.736658736918</x:v>
      </x:c>
      <x:c r="AB55" s="184" t="n">
        <x:f>MAX(0,-AB53)</x:f>
        <x:v>185595.3592018988</x:v>
      </x:c>
      <x:c r="AC55" s="184" t="n">
        <x:f>MAX(0,-AC53)</x:f>
        <x:v>0</x:v>
      </x:c>
      <x:c r="AD55" s="184" t="n">
        <x:f>MAX(0,-AD53)</x:f>
        <x:v>0</x:v>
      </x:c>
      <x:c r="AE55" s="184" t="n">
        <x:f>MAX(0,-AE53)</x:f>
        <x:v>0</x:v>
      </x:c>
      <x:c r="AF55" s="184" t="n">
        <x:f>MAX(0,-AF53)</x:f>
        <x:v>0</x:v>
      </x:c>
      <x:c r="AG55" s="184" t="n">
        <x:f>MAX(0,-AG53)</x:f>
        <x:v>0</x:v>
      </x:c>
      <x:c r="AH55" s="184" t="n">
        <x:f>MAX(0,-AH53)</x:f>
        <x:v>0</x:v>
      </x:c>
      <x:c r="AI55" s="184" t="n">
        <x:f>MAX(0,-AI53)</x:f>
        <x:v>0</x:v>
      </x:c>
      <x:c r="AJ55" s="184" t="n">
        <x:f>MAX(0,-AJ53)</x:f>
        <x:v>0</x:v>
      </x:c>
      <x:c r="AK55" s="184" t="n">
        <x:f>MAX(0,-AK53)</x:f>
        <x:v>0</x:v>
      </x:c>
    </x:row>
    <x:row r="56">
      <x:c r="A56" s="189" t="str">
        <x:v>Cumulative pre-allocation cash</x:v>
      </x:c>
      <x:c r="B56" s="184" t="n">
        <x:f>B53</x:f>
        <x:v>-81580.7584067134</x:v>
      </x:c>
      <x:c r="C56" s="184" t="n">
        <x:f>B56+C53</x:f>
        <x:v>-169050.24044398754</x:v>
      </x:c>
      <x:c r="D56" s="184" t="n">
        <x:f>C56+D53</x:f>
        <x:v>-247571.8322933504</x:v>
      </x:c>
      <x:c r="E56" s="184" t="n">
        <x:f>D56+E53</x:f>
        <x:v>-331103.18944540643</x:v>
      </x:c>
      <x:c r="F56" s="184" t="n">
        <x:f>E56+F53</x:f>
        <x:v>-406252.05016529036</x:v>
      </x:c>
      <x:c r="G56" s="184" t="n">
        <x:f>F56+G53</x:f>
        <x:v>-479587.0396313935</x:v>
      </x:c>
      <x:c r="H56" s="184" t="n">
        <x:f>G56+H53</x:f>
        <x:v>-561907.4642810269</x:v>
      </x:c>
      <x:c r="I56" s="184" t="n">
        <x:f>H56+I53</x:f>
        <x:v>-631338.0958733669</x:v>
      </x:c>
      <x:c r="J56" s="184" t="n">
        <x:f>I56+J53</x:f>
        <x:v>-698668.9447555491</x:v>
      </x:c>
      <x:c r="K56" s="184" t="n">
        <x:f>J56+K53</x:f>
        <x:v>-789810.0217920654</x:v>
      </x:c>
      <x:c r="L56" s="184" t="n">
        <x:f>K56+L53</x:f>
        <x:v>-852621.0883906325</x:v>
      </x:c>
      <x:c r="M56" s="184" t="n">
        <x:f>L56+M53</x:f>
        <x:v>-913001.394029353</x:v>
      </x:c>
      <x:c r="N56" s="184" t="n">
        <x:f>M56+N53</x:f>
        <x:v>-970829.4006602347</x:v>
      </x:c>
      <x:c r="O56" s="184" t="n">
        <x:f>N56+O53</x:f>
        <x:v>-1025977.4933328856</x:v>
      </x:c>
      <x:c r="P56" s="184" t="n">
        <x:f>O56+P53</x:f>
        <x:v>-1078311.676349394</x:v>
      </x:c>
      <x:c r="Q56" s="184" t="n">
        <x:f>P56+Q53</x:f>
        <x:v>-1127691.2542269528</x:v>
      </x:c>
      <x:c r="R56" s="184" t="n">
        <x:f>Q56+R53</x:f>
        <x:v>-1173968.4967086145</x:v>
      </x:c>
      <x:c r="S56" s="184" t="n">
        <x:f>R56+S53</x:f>
        <x:v>-1310763.2870245844</x:v>
      </x:c>
      <x:c r="T56" s="184" t="n">
        <x:f>S56+T53</x:f>
        <x:v>-1350362.7525665779</x:v>
      </x:c>
      <x:c r="U56" s="184" t="n">
        <x:f>T56+U53</x:f>
        <x:v>-1386370.877095896</x:v>
      </x:c>
      <x:c r="V56" s="184" t="n">
        <x:f>U56+V53</x:f>
        <x:v>-1418608.0935619052</x:v>
      </x:c>
      <x:c r="W56" s="184" t="n">
        <x:f>V56+W53</x:f>
        <x:v>-1446885.8565614398</x:v>
      </x:c>
      <x:c r="X56" s="184" t="n">
        <x:f>W56+X53</x:f>
        <x:v>-1471006.1934211762</x:v>
      </x:c>
      <x:c r="Y56" s="184" t="n">
        <x:f>X56+Y53</x:f>
        <x:v>-1490761.2328341245</x:v>
      </x:c>
      <x:c r="Z56" s="184" t="n">
        <x:f>Y56+Z53</x:f>
        <x:v>-1505932.7099279454</x:v>
      </x:c>
      <x:c r="AA56" s="184" t="n">
        <x:f>Z56+AA53</x:f>
        <x:v>-1516291.4465866822</x:v>
      </x:c>
      <x:c r="AB56" s="184" t="n">
        <x:f>AA56+AB53</x:f>
        <x:v>-1701886.805788581</x:v>
      </x:c>
      <x:c r="AC56" s="184" t="n">
        <x:f>AB56+AC53</x:f>
        <x:v>-1701886.1186608</x:v>
      </x:c>
      <x:c r="AD56" s="184" t="n">
        <x:f>AC56+AD53</x:f>
        <x:v>-1696314.0828868547</x:v>
      </x:c>
      <x:c r="AE56" s="184" t="n">
        <x:f>AD56+AE53</x:f>
        <x:v>-1684892.131034437</x:v>
      </x:c>
      <x:c r="AF56" s="184" t="n">
        <x:f>AE56+AF53</x:f>
        <x:v>-1667327.767299624</x:v>
      </x:c>
      <x:c r="AG56" s="184" t="n">
        <x:f>AF56+AG53</x:f>
        <x:v>-1643313.871088295</x:v>
      </x:c>
      <x:c r="AH56" s="184" t="n">
        <x:f>AG56+AH53</x:f>
        <x:v>-1612527.9657766246</x:v>
      </x:c>
      <x:c r="AI56" s="184" t="n">
        <x:f>AH56+AI53</x:f>
        <x:v>-1574631.450909596</x:v>
      </x:c>
      <x:c r="AJ56" s="184" t="n">
        <x:f>AI56+AJ53</x:f>
        <x:v>-1529268.796009441</x:v>
      </x:c>
      <x:c r="AK56" s="184" t="n">
        <x:f>AJ56+AK53</x:f>
        <x:v>-1476066.6940745031</x:v>
      </x:c>
    </x:row>
    <x:row r="57">
      <x:c r="A57" s="189" t="str">
        <x:v>Peak funding requirement</x:v>
      </x:c>
      <x:c r="B57" s="184" t="n">
        <x:f>MAX(0,-MIN($B$56:B$56))</x:f>
        <x:v>81580.7584067134</x:v>
      </x:c>
      <x:c r="C57" s="184" t="n">
        <x:f>MAX(0,-MIN($B$56:C$56))</x:f>
        <x:v>169050.24044398754</x:v>
      </x:c>
      <x:c r="D57" s="184" t="n">
        <x:f>MAX(0,-MIN($B$56:D$56))</x:f>
        <x:v>247571.8322933504</x:v>
      </x:c>
      <x:c r="E57" s="184" t="n">
        <x:f>MAX(0,-MIN($B$56:E$56))</x:f>
        <x:v>331103.18944540643</x:v>
      </x:c>
      <x:c r="F57" s="184" t="n">
        <x:f>MAX(0,-MIN($B$56:F$56))</x:f>
        <x:v>406252.05016529036</x:v>
      </x:c>
      <x:c r="G57" s="184" t="n">
        <x:f>MAX(0,-MIN($B$56:G$56))</x:f>
        <x:v>479587.0396313935</x:v>
      </x:c>
      <x:c r="H57" s="184" t="n">
        <x:f>MAX(0,-MIN($B$56:H$56))</x:f>
        <x:v>561907.4642810269</x:v>
      </x:c>
      <x:c r="I57" s="184" t="n">
        <x:f>MAX(0,-MIN($B$56:I$56))</x:f>
        <x:v>631338.0958733669</x:v>
      </x:c>
      <x:c r="J57" s="184" t="n">
        <x:f>MAX(0,-MIN($B$56:J$56))</x:f>
        <x:v>698668.9447555491</x:v>
      </x:c>
      <x:c r="K57" s="184" t="n">
        <x:f>MAX(0,-MIN($B$56:K$56))</x:f>
        <x:v>789810.0217920654</x:v>
      </x:c>
      <x:c r="L57" s="184" t="n">
        <x:f>MAX(0,-MIN($B$56:L$56))</x:f>
        <x:v>852621.0883906325</x:v>
      </x:c>
      <x:c r="M57" s="184" t="n">
        <x:f>MAX(0,-MIN($B$56:M$56))</x:f>
        <x:v>913001.394029353</x:v>
      </x:c>
      <x:c r="N57" s="184" t="n">
        <x:f>MAX(0,-MIN($B$56:N$56))</x:f>
        <x:v>970829.4006602347</x:v>
      </x:c>
      <x:c r="O57" s="184" t="n">
        <x:f>MAX(0,-MIN($B$56:O$56))</x:f>
        <x:v>1025977.4933328856</x:v>
      </x:c>
      <x:c r="P57" s="184" t="n">
        <x:f>MAX(0,-MIN($B$56:P$56))</x:f>
        <x:v>1078311.676349394</x:v>
      </x:c>
      <x:c r="Q57" s="184" t="n">
        <x:f>MAX(0,-MIN($B$56:Q$56))</x:f>
        <x:v>1127691.2542269528</x:v>
      </x:c>
      <x:c r="R57" s="184" t="n">
        <x:f>MAX(0,-MIN($B$56:R$56))</x:f>
        <x:v>1173968.4967086145</x:v>
      </x:c>
      <x:c r="S57" s="184" t="n">
        <x:f>MAX(0,-MIN($B$56:S$56))</x:f>
        <x:v>1310763.2870245844</x:v>
      </x:c>
      <x:c r="T57" s="184" t="n">
        <x:f>MAX(0,-MIN($B$56:T$56))</x:f>
        <x:v>1350362.7525665779</x:v>
      </x:c>
      <x:c r="U57" s="184" t="n">
        <x:f>MAX(0,-MIN($B$56:U$56))</x:f>
        <x:v>1386370.877095896</x:v>
      </x:c>
      <x:c r="V57" s="184" t="n">
        <x:f>MAX(0,-MIN($B$56:V$56))</x:f>
        <x:v>1418608.0935619052</x:v>
      </x:c>
      <x:c r="W57" s="184" t="n">
        <x:f>MAX(0,-MIN($B$56:W$56))</x:f>
        <x:v>1446885.8565614398</x:v>
      </x:c>
      <x:c r="X57" s="184" t="n">
        <x:f>MAX(0,-MIN($B$56:X$56))</x:f>
        <x:v>1471006.1934211762</x:v>
      </x:c>
      <x:c r="Y57" s="184" t="n">
        <x:f>MAX(0,-MIN($B$56:Y$56))</x:f>
        <x:v>1490761.2328341245</x:v>
      </x:c>
      <x:c r="Z57" s="184" t="n">
        <x:f>MAX(0,-MIN($B$56:Z$56))</x:f>
        <x:v>1505932.7099279454</x:v>
      </x:c>
      <x:c r="AA57" s="184" t="n">
        <x:f>MAX(0,-MIN($B$56:AA$56))</x:f>
        <x:v>1516291.4465866822</x:v>
      </x:c>
      <x:c r="AB57" s="184" t="n">
        <x:f>MAX(0,-MIN($B$56:AB$56))</x:f>
        <x:v>1701886.805788581</x:v>
      </x:c>
      <x:c r="AC57" s="184" t="n">
        <x:f>MAX(0,-MIN($B$56:AC$56))</x:f>
        <x:v>1701886.805788581</x:v>
      </x:c>
      <x:c r="AD57" s="184" t="n">
        <x:f>MAX(0,-MIN($B$56:AD$56))</x:f>
        <x:v>1701886.805788581</x:v>
      </x:c>
      <x:c r="AE57" s="184" t="n">
        <x:f>MAX(0,-MIN($B$56:AE$56))</x:f>
        <x:v>1701886.805788581</x:v>
      </x:c>
      <x:c r="AF57" s="184" t="n">
        <x:f>MAX(0,-MIN($B$56:AF$56))</x:f>
        <x:v>1701886.805788581</x:v>
      </x:c>
      <x:c r="AG57" s="184" t="n">
        <x:f>MAX(0,-MIN($B$56:AG$56))</x:f>
        <x:v>1701886.805788581</x:v>
      </x:c>
      <x:c r="AH57" s="184" t="n">
        <x:f>MAX(0,-MIN($B$56:AH$56))</x:f>
        <x:v>1701886.805788581</x:v>
      </x:c>
      <x:c r="AI57" s="184" t="n">
        <x:f>MAX(0,-MIN($B$56:AI$56))</x:f>
        <x:v>1701886.805788581</x:v>
      </x:c>
      <x:c r="AJ57" s="184" t="n">
        <x:f>MAX(0,-MIN($B$56:AJ$56))</x:f>
        <x:v>1701886.805788581</x:v>
      </x:c>
      <x:c r="AK57" s="184" t="n">
        <x:f>MAX(0,-MIN($B$56:AK$56))</x:f>
        <x:v>1701886.805788581</x:v>
      </x:c>
    </x:row>
    <x:row r="58">
      <x:c r="A58" s="185"/>
      <x:c r="B58" s="173"/>
      <x:c r="C58" s="173"/>
      <x:c r="D58" s="173"/>
      <x:c r="E58" s="173"/>
      <x:c r="F58" s="173"/>
      <x:c r="G58" s="173"/>
      <x:c r="H58" s="173"/>
      <x:c r="I58" s="173"/>
      <x:c r="J58" s="173"/>
      <x:c r="K58" s="173"/>
      <x:c r="L58" s="173"/>
      <x:c r="M58" s="173"/>
      <x:c r="N58" s="173"/>
      <x:c r="O58" s="173"/>
      <x:c r="P58" s="173"/>
      <x:c r="Q58" s="173"/>
      <x:c r="R58" s="173"/>
      <x:c r="S58" s="173"/>
      <x:c r="T58" s="173"/>
      <x:c r="U58" s="173"/>
      <x:c r="V58" s="173"/>
      <x:c r="W58" s="173"/>
      <x:c r="X58" s="173"/>
      <x:c r="Y58" s="173"/>
      <x:c r="Z58" s="173"/>
      <x:c r="AA58" s="173"/>
      <x:c r="AB58" s="173"/>
      <x:c r="AC58" s="173"/>
      <x:c r="AD58" s="173"/>
      <x:c r="AE58" s="173"/>
      <x:c r="AF58" s="173"/>
      <x:c r="AG58" s="173"/>
      <x:c r="AH58" s="173"/>
      <x:c r="AI58" s="173"/>
      <x:c r="AJ58" s="173"/>
      <x:c r="AK58" s="173"/>
    </x:row>
    <x:row r="59" ht="24" customHeight="1">
      <x:c r="A59" s="187" t="str">
        <x:v>POST-COST SURPLUS POLICY</x:v>
      </x:c>
      <x:c r="B59" s="174" t="str">
        <x:v>POST-COST SURPLUS POLICY</x:v>
      </x:c>
      <x:c r="C59" s="174" t="str">
        <x:v>POST-COST SURPLUS POLICY</x:v>
      </x:c>
      <x:c r="D59" s="174" t="str">
        <x:v>POST-COST SURPLUS POLICY</x:v>
      </x:c>
      <x:c r="E59" s="174" t="str">
        <x:v>POST-COST SURPLUS POLICY</x:v>
      </x:c>
      <x:c r="F59" s="174" t="str">
        <x:v>POST-COST SURPLUS POLICY</x:v>
      </x:c>
      <x:c r="G59" s="174" t="str">
        <x:v>POST-COST SURPLUS POLICY</x:v>
      </x:c>
      <x:c r="H59" s="174" t="str">
        <x:v>POST-COST SURPLUS POLICY</x:v>
      </x:c>
      <x:c r="I59" s="174" t="str">
        <x:v>POST-COST SURPLUS POLICY</x:v>
      </x:c>
      <x:c r="J59" s="174" t="str">
        <x:v>POST-COST SURPLUS POLICY</x:v>
      </x:c>
      <x:c r="K59" s="174" t="str">
        <x:v>POST-COST SURPLUS POLICY</x:v>
      </x:c>
      <x:c r="L59" s="174" t="str">
        <x:v>POST-COST SURPLUS POLICY</x:v>
      </x:c>
      <x:c r="M59" s="174" t="str">
        <x:v>POST-COST SURPLUS POLICY</x:v>
      </x:c>
      <x:c r="N59" s="174" t="str">
        <x:v>POST-COST SURPLUS POLICY</x:v>
      </x:c>
      <x:c r="O59" s="174" t="str">
        <x:v>POST-COST SURPLUS POLICY</x:v>
      </x:c>
      <x:c r="P59" s="174" t="str">
        <x:v>POST-COST SURPLUS POLICY</x:v>
      </x:c>
      <x:c r="Q59" s="174" t="str">
        <x:v>POST-COST SURPLUS POLICY</x:v>
      </x:c>
      <x:c r="R59" s="174" t="str">
        <x:v>POST-COST SURPLUS POLICY</x:v>
      </x:c>
      <x:c r="S59" s="174" t="str">
        <x:v>POST-COST SURPLUS POLICY</x:v>
      </x:c>
      <x:c r="T59" s="174" t="str">
        <x:v>POST-COST SURPLUS POLICY</x:v>
      </x:c>
      <x:c r="U59" s="174" t="str">
        <x:v>POST-COST SURPLUS POLICY</x:v>
      </x:c>
      <x:c r="V59" s="174" t="str">
        <x:v>POST-COST SURPLUS POLICY</x:v>
      </x:c>
      <x:c r="W59" s="174" t="str">
        <x:v>POST-COST SURPLUS POLICY</x:v>
      </x:c>
      <x:c r="X59" s="174" t="str">
        <x:v>POST-COST SURPLUS POLICY</x:v>
      </x:c>
      <x:c r="Y59" s="174" t="str">
        <x:v>POST-COST SURPLUS POLICY</x:v>
      </x:c>
      <x:c r="Z59" s="174" t="str">
        <x:v>POST-COST SURPLUS POLICY</x:v>
      </x:c>
      <x:c r="AA59" s="174" t="str">
        <x:v>POST-COST SURPLUS POLICY</x:v>
      </x:c>
      <x:c r="AB59" s="174" t="str">
        <x:v>POST-COST SURPLUS POLICY</x:v>
      </x:c>
      <x:c r="AC59" s="174" t="str">
        <x:v>POST-COST SURPLUS POLICY</x:v>
      </x:c>
      <x:c r="AD59" s="174" t="str">
        <x:v>POST-COST SURPLUS POLICY</x:v>
      </x:c>
      <x:c r="AE59" s="174" t="str">
        <x:v>POST-COST SURPLUS POLICY</x:v>
      </x:c>
      <x:c r="AF59" s="174" t="str">
        <x:v>POST-COST SURPLUS POLICY</x:v>
      </x:c>
      <x:c r="AG59" s="174" t="str">
        <x:v>POST-COST SURPLUS POLICY</x:v>
      </x:c>
      <x:c r="AH59" s="174" t="str">
        <x:v>POST-COST SURPLUS POLICY</x:v>
      </x:c>
      <x:c r="AI59" s="174" t="str">
        <x:v>POST-COST SURPLUS POLICY</x:v>
      </x:c>
      <x:c r="AJ59" s="174" t="str">
        <x:v>POST-COST SURPLUS POLICY</x:v>
      </x:c>
      <x:c r="AK59" s="174" t="str">
        <x:v>POST-COST SURPLUS POLICY</x:v>
      </x:c>
    </x:row>
    <x:row r="60">
      <x:c r="A60" s="186" t="str">
        <x:v>Distributable surplus</x:v>
      </x:c>
      <x:c r="B60" s="179" t="n">
        <x:f>MAX(0,B53)</x:f>
        <x:v>0</x:v>
      </x:c>
      <x:c r="C60" s="179" t="n">
        <x:f>MAX(0,C53)</x:f>
        <x:v>0</x:v>
      </x:c>
      <x:c r="D60" s="179" t="n">
        <x:f>MAX(0,D53)</x:f>
        <x:v>0</x:v>
      </x:c>
      <x:c r="E60" s="179" t="n">
        <x:f>MAX(0,E53)</x:f>
        <x:v>0</x:v>
      </x:c>
      <x:c r="F60" s="179" t="n">
        <x:f>MAX(0,F53)</x:f>
        <x:v>0</x:v>
      </x:c>
      <x:c r="G60" s="179" t="n">
        <x:f>MAX(0,G53)</x:f>
        <x:v>0</x:v>
      </x:c>
      <x:c r="H60" s="179" t="n">
        <x:f>MAX(0,H53)</x:f>
        <x:v>0</x:v>
      </x:c>
      <x:c r="I60" s="179" t="n">
        <x:f>MAX(0,I53)</x:f>
        <x:v>0</x:v>
      </x:c>
      <x:c r="J60" s="179" t="n">
        <x:f>MAX(0,J53)</x:f>
        <x:v>0</x:v>
      </x:c>
      <x:c r="K60" s="179" t="n">
        <x:f>MAX(0,K53)</x:f>
        <x:v>0</x:v>
      </x:c>
      <x:c r="L60" s="179" t="n">
        <x:f>MAX(0,L53)</x:f>
        <x:v>0</x:v>
      </x:c>
      <x:c r="M60" s="179" t="n">
        <x:f>MAX(0,M53)</x:f>
        <x:v>0</x:v>
      </x:c>
      <x:c r="N60" s="179" t="n">
        <x:f>MAX(0,N53)</x:f>
        <x:v>0</x:v>
      </x:c>
      <x:c r="O60" s="179" t="n">
        <x:f>MAX(0,O53)</x:f>
        <x:v>0</x:v>
      </x:c>
      <x:c r="P60" s="179" t="n">
        <x:f>MAX(0,P53)</x:f>
        <x:v>0</x:v>
      </x:c>
      <x:c r="Q60" s="179" t="n">
        <x:f>MAX(0,Q53)</x:f>
        <x:v>0</x:v>
      </x:c>
      <x:c r="R60" s="179" t="n">
        <x:f>MAX(0,R53)</x:f>
        <x:v>0</x:v>
      </x:c>
      <x:c r="S60" s="179" t="n">
        <x:f>MAX(0,S53)</x:f>
        <x:v>0</x:v>
      </x:c>
      <x:c r="T60" s="179" t="n">
        <x:f>MAX(0,T53)</x:f>
        <x:v>0</x:v>
      </x:c>
      <x:c r="U60" s="179" t="n">
        <x:f>MAX(0,U53)</x:f>
        <x:v>0</x:v>
      </x:c>
      <x:c r="V60" s="179" t="n">
        <x:f>MAX(0,V53)</x:f>
        <x:v>0</x:v>
      </x:c>
      <x:c r="W60" s="179" t="n">
        <x:f>MAX(0,W53)</x:f>
        <x:v>0</x:v>
      </x:c>
      <x:c r="X60" s="179" t="n">
        <x:f>MAX(0,X53)</x:f>
        <x:v>0</x:v>
      </x:c>
      <x:c r="Y60" s="179" t="n">
        <x:f>MAX(0,Y53)</x:f>
        <x:v>0</x:v>
      </x:c>
      <x:c r="Z60" s="179" t="n">
        <x:f>MAX(0,Z53)</x:f>
        <x:v>0</x:v>
      </x:c>
      <x:c r="AA60" s="179" t="n">
        <x:f>MAX(0,AA53)</x:f>
        <x:v>0</x:v>
      </x:c>
      <x:c r="AB60" s="179" t="n">
        <x:f>MAX(0,AB53)</x:f>
        <x:v>0</x:v>
      </x:c>
      <x:c r="AC60" s="179" t="n">
        <x:f>MAX(0,AC53)</x:f>
        <x:v>0.6871277811878826</x:v>
      </x:c>
      <x:c r="AD60" s="179" t="n">
        <x:f>MAX(0,AD53)</x:f>
        <x:v>5572.035773945245</x:v>
      </x:c>
      <x:c r="AE60" s="179" t="n">
        <x:f>MAX(0,AE53)</x:f>
        <x:v>11421.951852417435</x:v>
      </x:c>
      <x:c r="AF60" s="179" t="n">
        <x:f>MAX(0,AF53)</x:f>
        <x:v>17564.36373481326</x:v>
      </x:c>
      <x:c r="AG60" s="179" t="n">
        <x:f>MAX(0,AG53)</x:f>
        <x:v>24013.896211328858</x:v>
      </x:c>
      <x:c r="AH60" s="179" t="n">
        <x:f>MAX(0,AH53)</x:f>
        <x:v>30785.90531167027</x:v>
      </x:c>
      <x:c r="AI60" s="179" t="n">
        <x:f>MAX(0,AI53)</x:f>
        <x:v>37896.514867028716</x:v>
      </x:c>
      <x:c r="AJ60" s="179" t="n">
        <x:f>MAX(0,AJ53)</x:f>
        <x:v>45362.65490015506</x:v>
      </x:c>
      <x:c r="AK60" s="179" t="n">
        <x:f>MAX(0,AK53)</x:f>
        <x:v>53202.10193493782</x:v>
      </x:c>
    </x:row>
    <x:row r="61">
      <x:c r="A61" s="185" t="str">
        <x:v>Platform / product reinvestment — 33.33%</x:v>
      </x:c>
      <x:c r="B61" s="173" t="n">
        <x:f>B60*33.33%</x:f>
        <x:v>0</x:v>
      </x:c>
      <x:c r="C61" s="173" t="n">
        <x:f>C60*33.33%</x:f>
        <x:v>0</x:v>
      </x:c>
      <x:c r="D61" s="173" t="n">
        <x:f>D60*33.33%</x:f>
        <x:v>0</x:v>
      </x:c>
      <x:c r="E61" s="173" t="n">
        <x:f>E60*33.33%</x:f>
        <x:v>0</x:v>
      </x:c>
      <x:c r="F61" s="173" t="n">
        <x:f>F60*33.33%</x:f>
        <x:v>0</x:v>
      </x:c>
      <x:c r="G61" s="173" t="n">
        <x:f>G60*33.33%</x:f>
        <x:v>0</x:v>
      </x:c>
      <x:c r="H61" s="173" t="n">
        <x:f>H60*33.33%</x:f>
        <x:v>0</x:v>
      </x:c>
      <x:c r="I61" s="173" t="n">
        <x:f>I60*33.33%</x:f>
        <x:v>0</x:v>
      </x:c>
      <x:c r="J61" s="173" t="n">
        <x:f>J60*33.33%</x:f>
        <x:v>0</x:v>
      </x:c>
      <x:c r="K61" s="173" t="n">
        <x:f>K60*33.33%</x:f>
        <x:v>0</x:v>
      </x:c>
      <x:c r="L61" s="173" t="n">
        <x:f>L60*33.33%</x:f>
        <x:v>0</x:v>
      </x:c>
      <x:c r="M61" s="173" t="n">
        <x:f>M60*33.33%</x:f>
        <x:v>0</x:v>
      </x:c>
      <x:c r="N61" s="173" t="n">
        <x:f>N60*33.33%</x:f>
        <x:v>0</x:v>
      </x:c>
      <x:c r="O61" s="173" t="n">
        <x:f>O60*33.33%</x:f>
        <x:v>0</x:v>
      </x:c>
      <x:c r="P61" s="173" t="n">
        <x:f>P60*33.33%</x:f>
        <x:v>0</x:v>
      </x:c>
      <x:c r="Q61" s="173" t="n">
        <x:f>Q60*33.33%</x:f>
        <x:v>0</x:v>
      </x:c>
      <x:c r="R61" s="173" t="n">
        <x:f>R60*33.33%</x:f>
        <x:v>0</x:v>
      </x:c>
      <x:c r="S61" s="173" t="n">
        <x:f>S60*33.33%</x:f>
        <x:v>0</x:v>
      </x:c>
      <x:c r="T61" s="173" t="n">
        <x:f>T60*33.33%</x:f>
        <x:v>0</x:v>
      </x:c>
      <x:c r="U61" s="173" t="n">
        <x:f>U60*33.33%</x:f>
        <x:v>0</x:v>
      </x:c>
      <x:c r="V61" s="173" t="n">
        <x:f>V60*33.33%</x:f>
        <x:v>0</x:v>
      </x:c>
      <x:c r="W61" s="173" t="n">
        <x:f>W60*33.33%</x:f>
        <x:v>0</x:v>
      </x:c>
      <x:c r="X61" s="173" t="n">
        <x:f>X60*33.33%</x:f>
        <x:v>0</x:v>
      </x:c>
      <x:c r="Y61" s="173" t="n">
        <x:f>Y60*33.33%</x:f>
        <x:v>0</x:v>
      </x:c>
      <x:c r="Z61" s="173" t="n">
        <x:f>Z60*33.33%</x:f>
        <x:v>0</x:v>
      </x:c>
      <x:c r="AA61" s="173" t="n">
        <x:f>AA60*33.33%</x:f>
        <x:v>0</x:v>
      </x:c>
      <x:c r="AB61" s="173" t="n">
        <x:f>AB60*33.33%</x:f>
        <x:v>0</x:v>
      </x:c>
      <x:c r="AC61" s="173" t="n">
        <x:f>AC60*33.33%</x:f>
        <x:v>0.22901968946992127</x:v>
      </x:c>
      <x:c r="AD61" s="173" t="n">
        <x:f>AD60*33.33%</x:f>
        <x:v>1857.15952345595</x:v>
      </x:c>
      <x:c r="AE61" s="173" t="n">
        <x:f>AE60*33.33%</x:f>
        <x:v>3806.9365524107307</x:v>
      </x:c>
      <x:c r="AF61" s="173" t="n">
        <x:f>AF60*33.33%</x:f>
        <x:v>5854.20243281326</x:v>
      </x:c>
      <x:c r="AG61" s="173" t="n">
        <x:f>AG60*33.33%</x:f>
        <x:v>8003.831607235908</x:v>
      </x:c>
      <x:c r="AH61" s="173" t="n">
        <x:f>AH60*33.33%</x:f>
        <x:v>10260.942240379702</x:v>
      </x:c>
      <x:c r="AI61" s="173" t="n">
        <x:f>AI60*33.33%</x:f>
        <x:v>12630.908405180671</x:v>
      </x:c>
      <x:c r="AJ61" s="173" t="n">
        <x:f>AJ60*33.33%</x:f>
        <x:v>15119.37287822168</x:v>
      </x:c>
      <x:c r="AK61" s="173" t="n">
        <x:f>AK60*33.33%</x:f>
        <x:v>17732.260574914773</x:v>
      </x:c>
    </x:row>
    <x:row r="62">
      <x:c r="A62" s="185" t="str">
        <x:v>Rights &amp; artist participation pool — 33.33%</x:v>
      </x:c>
      <x:c r="B62" s="173" t="n">
        <x:f>B60*33.33%</x:f>
        <x:v>0</x:v>
      </x:c>
      <x:c r="C62" s="173" t="n">
        <x:f>C60*33.33%</x:f>
        <x:v>0</x:v>
      </x:c>
      <x:c r="D62" s="173" t="n">
        <x:f>D60*33.33%</x:f>
        <x:v>0</x:v>
      </x:c>
      <x:c r="E62" s="173" t="n">
        <x:f>E60*33.33%</x:f>
        <x:v>0</x:v>
      </x:c>
      <x:c r="F62" s="173" t="n">
        <x:f>F60*33.33%</x:f>
        <x:v>0</x:v>
      </x:c>
      <x:c r="G62" s="173" t="n">
        <x:f>G60*33.33%</x:f>
        <x:v>0</x:v>
      </x:c>
      <x:c r="H62" s="173" t="n">
        <x:f>H60*33.33%</x:f>
        <x:v>0</x:v>
      </x:c>
      <x:c r="I62" s="173" t="n">
        <x:f>I60*33.33%</x:f>
        <x:v>0</x:v>
      </x:c>
      <x:c r="J62" s="173" t="n">
        <x:f>J60*33.33%</x:f>
        <x:v>0</x:v>
      </x:c>
      <x:c r="K62" s="173" t="n">
        <x:f>K60*33.33%</x:f>
        <x:v>0</x:v>
      </x:c>
      <x:c r="L62" s="173" t="n">
        <x:f>L60*33.33%</x:f>
        <x:v>0</x:v>
      </x:c>
      <x:c r="M62" s="173" t="n">
        <x:f>M60*33.33%</x:f>
        <x:v>0</x:v>
      </x:c>
      <x:c r="N62" s="173" t="n">
        <x:f>N60*33.33%</x:f>
        <x:v>0</x:v>
      </x:c>
      <x:c r="O62" s="173" t="n">
        <x:f>O60*33.33%</x:f>
        <x:v>0</x:v>
      </x:c>
      <x:c r="P62" s="173" t="n">
        <x:f>P60*33.33%</x:f>
        <x:v>0</x:v>
      </x:c>
      <x:c r="Q62" s="173" t="n">
        <x:f>Q60*33.33%</x:f>
        <x:v>0</x:v>
      </x:c>
      <x:c r="R62" s="173" t="n">
        <x:f>R60*33.33%</x:f>
        <x:v>0</x:v>
      </x:c>
      <x:c r="S62" s="173" t="n">
        <x:f>S60*33.33%</x:f>
        <x:v>0</x:v>
      </x:c>
      <x:c r="T62" s="173" t="n">
        <x:f>T60*33.33%</x:f>
        <x:v>0</x:v>
      </x:c>
      <x:c r="U62" s="173" t="n">
        <x:f>U60*33.33%</x:f>
        <x:v>0</x:v>
      </x:c>
      <x:c r="V62" s="173" t="n">
        <x:f>V60*33.33%</x:f>
        <x:v>0</x:v>
      </x:c>
      <x:c r="W62" s="173" t="n">
        <x:f>W60*33.33%</x:f>
        <x:v>0</x:v>
      </x:c>
      <x:c r="X62" s="173" t="n">
        <x:f>X60*33.33%</x:f>
        <x:v>0</x:v>
      </x:c>
      <x:c r="Y62" s="173" t="n">
        <x:f>Y60*33.33%</x:f>
        <x:v>0</x:v>
      </x:c>
      <x:c r="Z62" s="173" t="n">
        <x:f>Z60*33.33%</x:f>
        <x:v>0</x:v>
      </x:c>
      <x:c r="AA62" s="173" t="n">
        <x:f>AA60*33.33%</x:f>
        <x:v>0</x:v>
      </x:c>
      <x:c r="AB62" s="173" t="n">
        <x:f>AB60*33.33%</x:f>
        <x:v>0</x:v>
      </x:c>
      <x:c r="AC62" s="173" t="n">
        <x:f>AC60*33.33%</x:f>
        <x:v>0.22901968946992127</x:v>
      </x:c>
      <x:c r="AD62" s="173" t="n">
        <x:f>AD60*33.33%</x:f>
        <x:v>1857.15952345595</x:v>
      </x:c>
      <x:c r="AE62" s="173" t="n">
        <x:f>AE60*33.33%</x:f>
        <x:v>3806.9365524107307</x:v>
      </x:c>
      <x:c r="AF62" s="173" t="n">
        <x:f>AF60*33.33%</x:f>
        <x:v>5854.20243281326</x:v>
      </x:c>
      <x:c r="AG62" s="173" t="n">
        <x:f>AG60*33.33%</x:f>
        <x:v>8003.831607235908</x:v>
      </x:c>
      <x:c r="AH62" s="173" t="n">
        <x:f>AH60*33.33%</x:f>
        <x:v>10260.942240379702</x:v>
      </x:c>
      <x:c r="AI62" s="173" t="n">
        <x:f>AI60*33.33%</x:f>
        <x:v>12630.908405180671</x:v>
      </x:c>
      <x:c r="AJ62" s="173" t="n">
        <x:f>AJ60*33.33%</x:f>
        <x:v>15119.37287822168</x:v>
      </x:c>
      <x:c r="AK62" s="173" t="n">
        <x:f>AK60*33.33%</x:f>
        <x:v>17732.260574914773</x:v>
      </x:c>
    </x:row>
    <x:row r="63">
      <x:c r="A63" s="185" t="str">
        <x:v>Youth mental health investment — 33.34%</x:v>
      </x:c>
      <x:c r="B63" s="173" t="n">
        <x:f>B60*33.34%</x:f>
        <x:v>0</x:v>
      </x:c>
      <x:c r="C63" s="173" t="n">
        <x:f>C60*33.34%</x:f>
        <x:v>0</x:v>
      </x:c>
      <x:c r="D63" s="173" t="n">
        <x:f>D60*33.34%</x:f>
        <x:v>0</x:v>
      </x:c>
      <x:c r="E63" s="173" t="n">
        <x:f>E60*33.34%</x:f>
        <x:v>0</x:v>
      </x:c>
      <x:c r="F63" s="173" t="n">
        <x:f>F60*33.34%</x:f>
        <x:v>0</x:v>
      </x:c>
      <x:c r="G63" s="173" t="n">
        <x:f>G60*33.34%</x:f>
        <x:v>0</x:v>
      </x:c>
      <x:c r="H63" s="173" t="n">
        <x:f>H60*33.34%</x:f>
        <x:v>0</x:v>
      </x:c>
      <x:c r="I63" s="173" t="n">
        <x:f>I60*33.34%</x:f>
        <x:v>0</x:v>
      </x:c>
      <x:c r="J63" s="173" t="n">
        <x:f>J60*33.34%</x:f>
        <x:v>0</x:v>
      </x:c>
      <x:c r="K63" s="173" t="n">
        <x:f>K60*33.34%</x:f>
        <x:v>0</x:v>
      </x:c>
      <x:c r="L63" s="173" t="n">
        <x:f>L60*33.34%</x:f>
        <x:v>0</x:v>
      </x:c>
      <x:c r="M63" s="173" t="n">
        <x:f>M60*33.34%</x:f>
        <x:v>0</x:v>
      </x:c>
      <x:c r="N63" s="173" t="n">
        <x:f>N60*33.34%</x:f>
        <x:v>0</x:v>
      </x:c>
      <x:c r="O63" s="173" t="n">
        <x:f>O60*33.34%</x:f>
        <x:v>0</x:v>
      </x:c>
      <x:c r="P63" s="173" t="n">
        <x:f>P60*33.34%</x:f>
        <x:v>0</x:v>
      </x:c>
      <x:c r="Q63" s="173" t="n">
        <x:f>Q60*33.34%</x:f>
        <x:v>0</x:v>
      </x:c>
      <x:c r="R63" s="173" t="n">
        <x:f>R60*33.34%</x:f>
        <x:v>0</x:v>
      </x:c>
      <x:c r="S63" s="173" t="n">
        <x:f>S60*33.34%</x:f>
        <x:v>0</x:v>
      </x:c>
      <x:c r="T63" s="173" t="n">
        <x:f>T60*33.34%</x:f>
        <x:v>0</x:v>
      </x:c>
      <x:c r="U63" s="173" t="n">
        <x:f>U60*33.34%</x:f>
        <x:v>0</x:v>
      </x:c>
      <x:c r="V63" s="173" t="n">
        <x:f>V60*33.34%</x:f>
        <x:v>0</x:v>
      </x:c>
      <x:c r="W63" s="173" t="n">
        <x:f>W60*33.34%</x:f>
        <x:v>0</x:v>
      </x:c>
      <x:c r="X63" s="173" t="n">
        <x:f>X60*33.34%</x:f>
        <x:v>0</x:v>
      </x:c>
      <x:c r="Y63" s="173" t="n">
        <x:f>Y60*33.34%</x:f>
        <x:v>0</x:v>
      </x:c>
      <x:c r="Z63" s="173" t="n">
        <x:f>Z60*33.34%</x:f>
        <x:v>0</x:v>
      </x:c>
      <x:c r="AA63" s="173" t="n">
        <x:f>AA60*33.34%</x:f>
        <x:v>0</x:v>
      </x:c>
      <x:c r="AB63" s="173" t="n">
        <x:f>AB60*33.34%</x:f>
        <x:v>0</x:v>
      </x:c>
      <x:c r="AC63" s="173" t="n">
        <x:f>AC60*33.34%</x:f>
        <x:v>0.22908840224804009</x:v>
      </x:c>
      <x:c r="AD63" s="173" t="n">
        <x:f>AD60*33.34%</x:f>
        <x:v>1857.7167270333448</x:v>
      </x:c>
      <x:c r="AE63" s="173" t="n">
        <x:f>AE60*33.34%</x:f>
        <x:v>3808.078747595973</x:v>
      </x:c>
      <x:c r="AF63" s="173" t="n">
        <x:f>AF60*33.34%</x:f>
        <x:v>5855.958869186742</x:v>
      </x:c>
      <x:c r="AG63" s="173" t="n">
        <x:f>AG60*33.34%</x:f>
        <x:v>8006.232996857042</x:v>
      </x:c>
      <x:c r="AH63" s="173" t="n">
        <x:f>AH60*33.34%</x:f>
        <x:v>10264.02083091087</x:v>
      </x:c>
      <x:c r="AI63" s="173" t="n">
        <x:f>AI60*33.34%</x:f>
        <x:v>12634.698056667376</x:v>
      </x:c>
      <x:c r="AJ63" s="173" t="n">
        <x:f>AJ60*33.34%</x:f>
        <x:v>15123.909143711699</x:v>
      </x:c>
      <x:c r="AK63" s="173" t="n">
        <x:f>AK60*33.34%</x:f>
        <x:v>17737.58078510827</x:v>
      </x:c>
    </x:row>
    <x:row r="64">
      <x:c r="A64" s="186" t="str">
        <x:v>Total mission allocation</x:v>
      </x:c>
      <x:c r="B64" s="179" t="n">
        <x:f>SUM(B61:B63)</x:f>
        <x:v>0</x:v>
      </x:c>
      <x:c r="C64" s="179" t="n">
        <x:f>SUM(C61:C63)</x:f>
        <x:v>0</x:v>
      </x:c>
      <x:c r="D64" s="179" t="n">
        <x:f>SUM(D61:D63)</x:f>
        <x:v>0</x:v>
      </x:c>
      <x:c r="E64" s="179" t="n">
        <x:f>SUM(E61:E63)</x:f>
        <x:v>0</x:v>
      </x:c>
      <x:c r="F64" s="179" t="n">
        <x:f>SUM(F61:F63)</x:f>
        <x:v>0</x:v>
      </x:c>
      <x:c r="G64" s="179" t="n">
        <x:f>SUM(G61:G63)</x:f>
        <x:v>0</x:v>
      </x:c>
      <x:c r="H64" s="179" t="n">
        <x:f>SUM(H61:H63)</x:f>
        <x:v>0</x:v>
      </x:c>
      <x:c r="I64" s="179" t="n">
        <x:f>SUM(I61:I63)</x:f>
        <x:v>0</x:v>
      </x:c>
      <x:c r="J64" s="179" t="n">
        <x:f>SUM(J61:J63)</x:f>
        <x:v>0</x:v>
      </x:c>
      <x:c r="K64" s="179" t="n">
        <x:f>SUM(K61:K63)</x:f>
        <x:v>0</x:v>
      </x:c>
      <x:c r="L64" s="179" t="n">
        <x:f>SUM(L61:L63)</x:f>
        <x:v>0</x:v>
      </x:c>
      <x:c r="M64" s="179" t="n">
        <x:f>SUM(M61:M63)</x:f>
        <x:v>0</x:v>
      </x:c>
      <x:c r="N64" s="179" t="n">
        <x:f>SUM(N61:N63)</x:f>
        <x:v>0</x:v>
      </x:c>
      <x:c r="O64" s="179" t="n">
        <x:f>SUM(O61:O63)</x:f>
        <x:v>0</x:v>
      </x:c>
      <x:c r="P64" s="179" t="n">
        <x:f>SUM(P61:P63)</x:f>
        <x:v>0</x:v>
      </x:c>
      <x:c r="Q64" s="179" t="n">
        <x:f>SUM(Q61:Q63)</x:f>
        <x:v>0</x:v>
      </x:c>
      <x:c r="R64" s="179" t="n">
        <x:f>SUM(R61:R63)</x:f>
        <x:v>0</x:v>
      </x:c>
      <x:c r="S64" s="179" t="n">
        <x:f>SUM(S61:S63)</x:f>
        <x:v>0</x:v>
      </x:c>
      <x:c r="T64" s="179" t="n">
        <x:f>SUM(T61:T63)</x:f>
        <x:v>0</x:v>
      </x:c>
      <x:c r="U64" s="179" t="n">
        <x:f>SUM(U61:U63)</x:f>
        <x:v>0</x:v>
      </x:c>
      <x:c r="V64" s="179" t="n">
        <x:f>SUM(V61:V63)</x:f>
        <x:v>0</x:v>
      </x:c>
      <x:c r="W64" s="179" t="n">
        <x:f>SUM(W61:W63)</x:f>
        <x:v>0</x:v>
      </x:c>
      <x:c r="X64" s="179" t="n">
        <x:f>SUM(X61:X63)</x:f>
        <x:v>0</x:v>
      </x:c>
      <x:c r="Y64" s="179" t="n">
        <x:f>SUM(Y61:Y63)</x:f>
        <x:v>0</x:v>
      </x:c>
      <x:c r="Z64" s="179" t="n">
        <x:f>SUM(Z61:Z63)</x:f>
        <x:v>0</x:v>
      </x:c>
      <x:c r="AA64" s="179" t="n">
        <x:f>SUM(AA61:AA63)</x:f>
        <x:v>0</x:v>
      </x:c>
      <x:c r="AB64" s="179" t="n">
        <x:f>SUM(AB61:AB63)</x:f>
        <x:v>0</x:v>
      </x:c>
      <x:c r="AC64" s="179" t="n">
        <x:f>SUM(AC61:AC63)</x:f>
        <x:v>0.6871277811878826</x:v>
      </x:c>
      <x:c r="AD64" s="179" t="n">
        <x:f>SUM(AD61:AD63)</x:f>
        <x:v>5572.035773945245</x:v>
      </x:c>
      <x:c r="AE64" s="179" t="n">
        <x:f>SUM(AE61:AE63)</x:f>
        <x:v>11421.951852417435</x:v>
      </x:c>
      <x:c r="AF64" s="179" t="n">
        <x:f>SUM(AF61:AF63)</x:f>
        <x:v>17564.36373481326</x:v>
      </x:c>
      <x:c r="AG64" s="179" t="n">
        <x:f>SUM(AG61:AG63)</x:f>
        <x:v>24013.896211328858</x:v>
      </x:c>
      <x:c r="AH64" s="179" t="n">
        <x:f>SUM(AH61:AH63)</x:f>
        <x:v>30785.90531167027</x:v>
      </x:c>
      <x:c r="AI64" s="179" t="n">
        <x:f>SUM(AI61:AI63)</x:f>
        <x:v>37896.514867028716</x:v>
      </x:c>
      <x:c r="AJ64" s="179" t="n">
        <x:f>SUM(AJ61:AJ63)</x:f>
        <x:v>45362.65490015506</x:v>
      </x:c>
      <x:c r="AK64" s="179" t="n">
        <x:f>SUM(AK61:AK63)</x:f>
        <x:v>53202.10193493782</x:v>
      </x:c>
    </x:row>
    <x:row r="65">
      <x:c r="A65" s="185" t="str">
        <x:v>Allocation check</x:v>
      </x:c>
      <x:c r="B65" s="173" t="n">
        <x:f>B60-B64</x:f>
        <x:v>0</x:v>
      </x:c>
      <x:c r="C65" s="173" t="n">
        <x:f>C60-C64</x:f>
        <x:v>0</x:v>
      </x:c>
      <x:c r="D65" s="173" t="n">
        <x:f>D60-D64</x:f>
        <x:v>0</x:v>
      </x:c>
      <x:c r="E65" s="173" t="n">
        <x:f>E60-E64</x:f>
        <x:v>0</x:v>
      </x:c>
      <x:c r="F65" s="173" t="n">
        <x:f>F60-F64</x:f>
        <x:v>0</x:v>
      </x:c>
      <x:c r="G65" s="173" t="n">
        <x:f>G60-G64</x:f>
        <x:v>0</x:v>
      </x:c>
      <x:c r="H65" s="173" t="n">
        <x:f>H60-H64</x:f>
        <x:v>0</x:v>
      </x:c>
      <x:c r="I65" s="173" t="n">
        <x:f>I60-I64</x:f>
        <x:v>0</x:v>
      </x:c>
      <x:c r="J65" s="173" t="n">
        <x:f>J60-J64</x:f>
        <x:v>0</x:v>
      </x:c>
      <x:c r="K65" s="173" t="n">
        <x:f>K60-K64</x:f>
        <x:v>0</x:v>
      </x:c>
      <x:c r="L65" s="173" t="n">
        <x:f>L60-L64</x:f>
        <x:v>0</x:v>
      </x:c>
      <x:c r="M65" s="173" t="n">
        <x:f>M60-M64</x:f>
        <x:v>0</x:v>
      </x:c>
      <x:c r="N65" s="173" t="n">
        <x:f>N60-N64</x:f>
        <x:v>0</x:v>
      </x:c>
      <x:c r="O65" s="173" t="n">
        <x:f>O60-O64</x:f>
        <x:v>0</x:v>
      </x:c>
      <x:c r="P65" s="173" t="n">
        <x:f>P60-P64</x:f>
        <x:v>0</x:v>
      </x:c>
      <x:c r="Q65" s="173" t="n">
        <x:f>Q60-Q64</x:f>
        <x:v>0</x:v>
      </x:c>
      <x:c r="R65" s="173" t="n">
        <x:f>R60-R64</x:f>
        <x:v>0</x:v>
      </x:c>
      <x:c r="S65" s="173" t="n">
        <x:f>S60-S64</x:f>
        <x:v>0</x:v>
      </x:c>
      <x:c r="T65" s="173" t="n">
        <x:f>T60-T64</x:f>
        <x:v>0</x:v>
      </x:c>
      <x:c r="U65" s="173" t="n">
        <x:f>U60-U64</x:f>
        <x:v>0</x:v>
      </x:c>
      <x:c r="V65" s="173" t="n">
        <x:f>V60-V64</x:f>
        <x:v>0</x:v>
      </x:c>
      <x:c r="W65" s="173" t="n">
        <x:f>W60-W64</x:f>
        <x:v>0</x:v>
      </x:c>
      <x:c r="X65" s="173" t="n">
        <x:f>X60-X64</x:f>
        <x:v>0</x:v>
      </x:c>
      <x:c r="Y65" s="173" t="n">
        <x:f>Y60-Y64</x:f>
        <x:v>0</x:v>
      </x:c>
      <x:c r="Z65" s="173" t="n">
        <x:f>Z60-Z64</x:f>
        <x:v>0</x:v>
      </x:c>
      <x:c r="AA65" s="173" t="n">
        <x:f>AA60-AA64</x:f>
        <x:v>0</x:v>
      </x:c>
      <x:c r="AB65" s="173" t="n">
        <x:f>AB60-AB64</x:f>
        <x:v>0</x:v>
      </x:c>
      <x:c r="AC65" s="173" t="n">
        <x:f>AC60-AC64</x:f>
        <x:v>0</x:v>
      </x:c>
      <x:c r="AD65" s="173" t="n">
        <x:f>AD60-AD64</x:f>
        <x:v>0</x:v>
      </x:c>
      <x:c r="AE65" s="173" t="n">
        <x:f>AE60-AE64</x:f>
        <x:v>0</x:v>
      </x:c>
      <x:c r="AF65" s="173" t="n">
        <x:f>AF60-AF64</x:f>
        <x:v>0</x:v>
      </x:c>
      <x:c r="AG65" s="173" t="n">
        <x:f>AG60-AG64</x:f>
        <x:v>0</x:v>
      </x:c>
      <x:c r="AH65" s="173" t="n">
        <x:f>AH60-AH64</x:f>
        <x:v>0</x:v>
      </x:c>
      <x:c r="AI65" s="173" t="n">
        <x:f>AI60-AI64</x:f>
        <x:v>0</x:v>
      </x:c>
      <x:c r="AJ65" s="173" t="n">
        <x:f>AJ60-AJ64</x:f>
        <x:v>0</x:v>
      </x:c>
      <x:c r="AK65" s="173" t="n">
        <x:f>AK60-AK64</x:f>
        <x:v>0</x:v>
      </x:c>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c r="AD66" s="69"/>
      <x:c r="AE66" s="69"/>
      <x:c r="AF66" s="69"/>
      <x:c r="AG66" s="69"/>
      <x:c r="AH66" s="69"/>
      <x:c r="AI66" s="69"/>
      <x:c r="AJ66" s="69"/>
      <x:c r="AK66" s="69"/>
    </x:row>
  </x:sheetData>
  <x:mergeCells>
    <x:mergeCell ref="A1:AK2"/>
    <x:mergeCell ref="A7:AK7"/>
    <x:mergeCell ref="A14:AK14"/>
    <x:mergeCell ref="A29:AK29"/>
    <x:mergeCell ref="A59:AK59"/>
  </x:mergeCells>
  <x:conditionalFormatting sqref="A65:AK65">
    <x:cfRule type="cellIs" dxfId="2" priority="1" operator="notEqual">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4" hidden="0" customWidth="1"/>
    <x:col min="3" max="3" width="20" hidden="0" customWidth="1"/>
    <x:col min="4" max="4" width="54" hidden="0" customWidth="1"/>
    <x:col min="5" max="5" width="12" hidden="0" customWidth="1"/>
    <x:col min="6" max="6" width="12" hidden="0" customWidth="1"/>
    <x:col min="7" max="7" width="12" hidden="0" customWidth="1"/>
    <x:col min="8" max="8" width="12" hidden="0" customWidth="1"/>
  </x:cols>
  <x:sheetData>
    <x:row r="1">
      <x:c r="A1" s="72" t="str">
        <x:v>Post-Cost Mission Allocation</x:v>
      </x:c>
      <x:c r="B1" s="72" t="str">
        <x:v>Post-Cost Mission Allocation</x:v>
      </x:c>
      <x:c r="C1" s="72" t="str">
        <x:v>Post-Cost Mission Allocation</x:v>
      </x:c>
      <x:c r="D1" s="72" t="str">
        <x:v>Post-Cost Mission Allocation</x:v>
      </x:c>
      <x:c r="E1" s="72" t="str">
        <x:v>Post-Cost Mission Allocation</x:v>
      </x:c>
      <x:c r="F1" s="72" t="str">
        <x:v>Post-Cost Mission Allocation</x:v>
      </x:c>
      <x:c r="G1" s="72" t="str">
        <x:v>Post-Cost Mission Allocation</x:v>
      </x:c>
      <x:c r="H1" s="72" t="str">
        <x:v>Post-Cost Mission Allocation</x:v>
      </x:c>
    </x:row>
    <x:row r="2">
      <x:c r="A2" s="72" t="str">
        <x:v>Post-Cost Mission Allocation</x:v>
      </x:c>
      <x:c r="B2" s="72" t="str">
        <x:v>Post-Cost Mission Allocation</x:v>
      </x:c>
      <x:c r="C2" s="72" t="str">
        <x:v>Post-Cost Mission Allocation</x:v>
      </x:c>
      <x:c r="D2" s="72" t="str">
        <x:v>Post-Cost Mission Allocation</x:v>
      </x:c>
      <x:c r="E2" s="72" t="str">
        <x:v>Post-Cost Mission Allocation</x:v>
      </x:c>
      <x:c r="F2" s="72" t="str">
        <x:v>Post-Cost Mission Allocation</x:v>
      </x:c>
      <x:c r="G2" s="72" t="str">
        <x:v>Post-Cost Mission Allocation</x:v>
      </x:c>
      <x:c r="H2" s="72" t="str">
        <x:v>Post-Cost Mission Allocation</x:v>
      </x:c>
    </x:row>
    <x:row r="3">
      <x:c r="A3" s="2"/>
      <x:c r="B3" s="2"/>
      <x:c r="C3" s="2"/>
      <x:c r="D3" s="2"/>
      <x:c r="E3" s="2"/>
      <x:c r="F3" s="2"/>
      <x:c r="G3" s="2"/>
      <x:c r="H3" s="2"/>
    </x:row>
    <x:row r="4">
      <x:c r="A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B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C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D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E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F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G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H4" s="192" t="str">
        <x:v>This schedule allocates only positive surplus after platform delivery, people, clinical coverage, research, minimum guarantees and overhead. It is a governance proposal—not a substitute for contract royalties, licence fees, tax treatment, reserves or accounting advice.</x:v>
      </x:c>
    </x:row>
    <x:row r="5">
      <x:c r="A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B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C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D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E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F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G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H5" s="192" t="str">
        <x:v>This schedule allocates only positive surplus after platform delivery, people, clinical coverage, research, minimum guarantees and overhead. It is a governance proposal—not a substitute for contract royalties, licence fees, tax treatment, reserves or accounting advice.</x:v>
      </x:c>
    </x:row>
    <x:row r="6">
      <x:c r="A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B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C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D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E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F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G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c r="H6" s="192" t="str">
        <x:v>This schedule allocates only positive surplus after platform delivery, people, clinical coverage, research, minimum guarantees and overhead. It is a governance proposal—not a substitute for contract royalties, licence fees, tax treatment, reserves or accounting advice.</x:v>
      </x:c>
    </x:row>
    <x:row r="7">
      <x:c r="A7" s="2"/>
      <x:c r="B7" s="2"/>
      <x:c r="C7" s="2"/>
      <x:c r="D7" s="2"/>
      <x:c r="E7" s="2"/>
      <x:c r="F7" s="2"/>
      <x:c r="G7" s="2"/>
      <x:c r="H7" s="2"/>
    </x:row>
    <x:row r="8">
      <x:c r="A8" s="195" t="str">
        <x:v>Allocation</x:v>
      </x:c>
      <x:c r="B8" s="196" t="str">
        <x:v>Policy %</x:v>
      </x:c>
      <x:c r="C8" s="196" t="str">
        <x:v>36-month amount</x:v>
      </x:c>
      <x:c r="D8" s="196" t="str">
        <x:v>Purpose</x:v>
      </x:c>
      <x:c r="E8" s="2"/>
      <x:c r="F8" s="2"/>
      <x:c r="G8" s="2"/>
      <x:c r="H8" s="2"/>
    </x:row>
    <x:row r="9">
      <x:c r="A9" s="197" t="str">
        <x:v>Platform / product reinvestment</x:v>
      </x:c>
      <x:c r="B9" s="198" t="n">
        <x:v>0.3333</x:v>
      </x:c>
      <x:c r="C9" s="55" t="n">
        <x:f>SUM('Monthly P&amp;L'!$B$61:$AK$61)</x:f>
        <x:v>75265.84323430214</x:v>
      </x:c>
      <x:c r="D9" s="54" t="str">
        <x:v>Product, editorial, reserves and sustainable operations</x:v>
      </x:c>
      <x:c r="E9" s="2"/>
      <x:c r="F9" s="2"/>
      <x:c r="G9" s="2"/>
      <x:c r="H9" s="2"/>
    </x:row>
    <x:row r="10">
      <x:c r="A10" s="197" t="str">
        <x:v>Rights &amp; artist participation pool</x:v>
      </x:c>
      <x:c r="B10" s="198" t="n">
        <x:v>0.3333</x:v>
      </x:c>
      <x:c r="C10" s="55" t="n">
        <x:f>SUM('Monthly P&amp;L'!$B$62:$AK$62)</x:f>
        <x:v>75265.84323430214</x:v>
      </x:c>
      <x:c r="D10" s="54" t="str">
        <x:v>Additional participation pool; contract mechanics to be negotiated</x:v>
      </x:c>
      <x:c r="E10" s="2"/>
      <x:c r="F10" s="2"/>
      <x:c r="G10" s="2"/>
      <x:c r="H10" s="2"/>
    </x:row>
    <x:row r="11">
      <x:c r="A11" s="197" t="str">
        <x:v>Youth mental health investment</x:v>
      </x:c>
      <x:c r="B11" s="198" t="n">
        <x:v>0.3334</x:v>
      </x:c>
      <x:c r="C11" s="55" t="n">
        <x:f>SUM('Monthly P&amp;L'!$B$63:$AK$63)</x:f>
        <x:v>75288.42524547357</x:v>
      </x:c>
      <x:c r="D11" s="54" t="str">
        <x:v>Headspace, Orygen or aligned youth mental-health purpose subject to agreement</x:v>
      </x:c>
      <x:c r="E11" s="2"/>
      <x:c r="F11" s="2"/>
      <x:c r="G11" s="2"/>
      <x:c r="H11" s="2"/>
    </x:row>
    <x:row r="12">
      <x:c r="A12" s="197"/>
      <x:c r="B12" s="199"/>
      <x:c r="C12" s="200"/>
      <x:c r="D12" s="54"/>
      <x:c r="E12" s="2"/>
      <x:c r="F12" s="2"/>
      <x:c r="G12" s="2"/>
      <x:c r="H12" s="2"/>
    </x:row>
    <x:row r="13">
      <x:c r="A13" s="201" t="str">
        <x:v>Total</x:v>
      </x:c>
      <x:c r="B13" s="202" t="n">
        <x:f>SUM(B9:B11)</x:f>
        <x:v>1</x:v>
      </x:c>
      <x:c r="C13" s="203" t="n">
        <x:f>SUM(C9:C11)</x:f>
        <x:v>225820.11171407785</x:v>
      </x:c>
      <x:c r="D13" s="204"/>
      <x:c r="E13" s="2"/>
      <x:c r="F13" s="2"/>
      <x:c r="G13" s="2"/>
      <x:c r="H13" s="2"/>
    </x:row>
    <x:row r="14">
      <x:c r="A14" s="2"/>
      <x:c r="B14" s="2"/>
      <x:c r="C14" s="2"/>
      <x:c r="D14" s="2"/>
      <x:c r="E14" s="2"/>
      <x:c r="F14" s="2"/>
      <x:c r="G14" s="2"/>
      <x:c r="H14" s="2"/>
    </x:row>
    <x:row r="15">
      <x:c r="A15" s="2"/>
      <x:c r="B15" s="2"/>
      <x:c r="C15" s="2"/>
      <x:c r="D15" s="2"/>
      <x:c r="E15" s="2"/>
      <x:c r="F15" s="2"/>
      <x:c r="G15" s="2"/>
      <x:c r="H15" s="2"/>
    </x:row>
    <x:row r="16">
      <x:c r="A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B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C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D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E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F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G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H16"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row>
    <x:row r="17">
      <x:c r="A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B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C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D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E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F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G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H17"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row>
    <x:row r="18">
      <x:c r="A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B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C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D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E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F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G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H18"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row>
    <x:row r="19">
      <x:c r="A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B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C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D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E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F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G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H19"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row>
    <x:row r="20">
      <x:c r="A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B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C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D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E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F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G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c r="H20" s="207" t="str">
        <x:v>Important rights distinction
• Musical composition / publishing rights
• Sound-recording (master) and artist / label rights
• Synchronisation and online communication rights
• Event-catalogue / producer permissions
• Fashion-house content permissions
These can require separate agreements. The additional participation pool should not be assumed to discharge those obligations.</x:v>
      </x:c>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sheetData>
  <x:mergeCells>
    <x:mergeCell ref="A1:H2"/>
    <x:mergeCell ref="A4:H6"/>
    <x:mergeCell ref="A16:H2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30" hidden="0" customWidth="1"/>
    <x:col min="8" max="8" width="44" hidden="0" customWidth="1"/>
  </x:cols>
  <x:sheetData>
    <x:row r="1">
      <x:c r="A1" s="208" t="str">
        <x:v>MODEL STATUS</x:v>
      </x:c>
      <x:c r="B1" s="69"/>
      <x:c r="C1" s="69"/>
      <x:c r="D1" s="69"/>
      <x:c r="E1" s="69"/>
      <x:c r="F1" s="69"/>
      <x:c r="G1" s="69"/>
      <x:c r="H1" s="69"/>
    </x:row>
    <x:row r="2">
      <x:c r="A2" s="69"/>
      <x:c r="B2" s="210" t="str">
        <x:f>IF(COUNTIF(F5:F14,"FAIL")=0,"PASS","FAIL")</x:f>
        <x:v>PASS</x:v>
      </x:c>
      <x:c r="C2" s="69"/>
      <x:c r="D2" s="69"/>
      <x:c r="E2" s="69"/>
      <x:c r="F2" s="69"/>
      <x:c r="G2" s="69"/>
      <x:c r="H2" s="69"/>
    </x:row>
    <x:row r="3">
      <x:c r="A3" s="69"/>
      <x:c r="B3" s="69"/>
      <x:c r="C3" s="69"/>
      <x:c r="D3" s="69"/>
      <x:c r="E3" s="69"/>
      <x:c r="F3" s="69"/>
      <x:c r="G3" s="69"/>
      <x:c r="H3" s="69"/>
    </x:row>
    <x:row r="4">
      <x:c r="A4" s="195" t="str">
        <x:v>Check</x:v>
      </x:c>
      <x:c r="B4" s="196" t="str">
        <x:v>Actual</x:v>
      </x:c>
      <x:c r="C4" s="196" t="str">
        <x:v>Expected</x:v>
      </x:c>
      <x:c r="D4" s="196" t="str">
        <x:v>Difference</x:v>
      </x:c>
      <x:c r="E4" s="196" t="str">
        <x:v>Tolerance</x:v>
      </x:c>
      <x:c r="F4" s="196" t="str">
        <x:v>Status</x:v>
      </x:c>
      <x:c r="G4" s="196" t="str">
        <x:v>Where to fix</x:v>
      </x:c>
      <x:c r="H4" s="196" t="str">
        <x:v>Notes</x:v>
      </x:c>
    </x:row>
    <x:row r="5">
      <x:c r="A5" s="214" t="str">
        <x:v>Scenario selector is valid</x:v>
      </x:c>
      <x:c r="B5" s="215" t="n">
        <x:f>COUNTIF('Assumptions'!$C$5:$E$5,'Summary'!$B$4)</x:f>
        <x:v>1</x:v>
      </x:c>
      <x:c r="C5" s="215" t="n">
        <x:v>1</x:v>
      </x:c>
      <x:c r="D5" s="215" t="n">
        <x:f>B5-C5</x:f>
        <x:v>0</x:v>
      </x:c>
      <x:c r="E5" s="215" t="n">
        <x:v>0</x:v>
      </x:c>
      <x:c r="F5" s="216" t="str">
        <x:f>IF(ABS(D5)&lt;=E5,"OK","FAIL")</x:f>
        <x:v>OK</x:v>
      </x:c>
      <x:c r="G5" s="216" t="str">
        <x:v>Summary!B4</x:v>
      </x:c>
      <x:c r="H5" s="216" t="str">
        <x:v>Must match Pilot, Base or Scale.</x:v>
      </x:c>
    </x:row>
    <x:row r="6">
      <x:c r="A6" s="214" t="str">
        <x:v>Surplus policy totals 100%</x:v>
      </x:c>
      <x:c r="B6" s="215" t="n">
        <x:f>SUM('Surplus Allocation'!$B$9:$B$11)</x:f>
        <x:v>1</x:v>
      </x:c>
      <x:c r="C6" s="215" t="n">
        <x:v>1</x:v>
      </x:c>
      <x:c r="D6" s="215" t="n">
        <x:f>B6-C6</x:f>
        <x:v>0</x:v>
      </x:c>
      <x:c r="E6" s="215" t="n">
        <x:v>0.00001</x:v>
      </x:c>
      <x:c r="F6" s="216" t="str">
        <x:f>IF(ABS(D6)&lt;=E6,"OK","FAIL")</x:f>
        <x:v>OK</x:v>
      </x:c>
      <x:c r="G6" s="216" t="str">
        <x:v>Surplus Allocation!B9:B11</x:v>
      </x:c>
      <x:c r="H6" s="216" t="str">
        <x:v>Policy allocation only.</x:v>
      </x:c>
    </x:row>
    <x:row r="7">
      <x:c r="A7" s="214" t="str">
        <x:v>Research total ties to phases</x:v>
      </x:c>
      <x:c r="B7" s="215" t="n">
        <x:f>'Research Plan'!$N$15</x:f>
        <x:v>295460</x:v>
      </x:c>
      <x:c r="C7" s="215" t="n">
        <x:f>SUM('Research Plan'!$N$8:$N$13)</x:f>
        <x:v>295460</x:v>
      </x:c>
      <x:c r="D7" s="215" t="n">
        <x:f>B7-C7</x:f>
        <x:v>0</x:v>
      </x:c>
      <x:c r="E7" s="215" t="n">
        <x:v>0.01</x:v>
      </x:c>
      <x:c r="F7" s="216" t="str">
        <x:f>IF(ABS(D7)&lt;=E7,"OK","FAIL")</x:f>
        <x:v>OK</x:v>
      </x:c>
      <x:c r="G7" s="216" t="str">
        <x:v>Research Plan!N8:N15</x:v>
      </x:c>
      <x:c r="H7" s="216" t="str">
        <x:v>All phases included.</x:v>
      </x:c>
    </x:row>
    <x:row r="8">
      <x:c r="A8" s="214" t="str">
        <x:v>P&amp;L research ties to roadmap</x:v>
      </x:c>
      <x:c r="B8" s="215" t="n">
        <x:f>SUM('Monthly P&amp;L'!$B$47:$AK$47)</x:f>
        <x:v>295460</x:v>
      </x:c>
      <x:c r="C8" s="215" t="n">
        <x:f>'Research Plan'!$N$15</x:f>
        <x:v>295460</x:v>
      </x:c>
      <x:c r="D8" s="215" t="n">
        <x:f>B8-C8</x:f>
        <x:v>0</x:v>
      </x:c>
      <x:c r="E8" s="215" t="n">
        <x:v>0.01</x:v>
      </x:c>
      <x:c r="F8" s="216" t="str">
        <x:f>IF(ABS(D8)&lt;=E8,"OK","FAIL")</x:f>
        <x:v>OK</x:v>
      </x:c>
      <x:c r="G8" s="216" t="str">
        <x:v>Research Plan dates</x:v>
      </x:c>
      <x:c r="H8" s="216" t="str">
        <x:v>Dates must fall inside the 36-month horizon.</x:v>
      </x:c>
    </x:row>
    <x:row r="9">
      <x:c r="A9" s="214" t="str">
        <x:v>Revenue totals components</x:v>
      </x:c>
      <x:c r="B9" s="215" t="n">
        <x:f>SUM('Monthly P&amp;L'!$B$12:$AK$12)</x:f>
        <x:v>7035780.634324068</x:v>
      </x:c>
      <x:c r="C9" s="215" t="n">
        <x:f>SUM('Monthly P&amp;L'!$B$8:$AK$11)</x:f>
        <x:v>7035780.63432407</x:v>
      </x:c>
      <x:c r="D9" s="215" t="n">
        <x:f>B9-C9</x:f>
        <x:v>-1.862645149230957e-9</x:v>
      </x:c>
      <x:c r="E9" s="215" t="n">
        <x:v>0.01</x:v>
      </x:c>
      <x:c r="F9" s="216" t="str">
        <x:f>IF(ABS(D9)&lt;=E9,"OK","FAIL")</x:f>
        <x:v>OK</x:v>
      </x:c>
      <x:c r="G9" s="216" t="str">
        <x:v>Monthly P&amp;L rows 8:12</x:v>
      </x:c>
      <x:c r="H9" s="216" t="str">
        <x:v>Total revenue should equal components.</x:v>
      </x:c>
    </x:row>
    <x:row r="10">
      <x:c r="A10" s="214" t="str">
        <x:v>Cost of revenue totals components</x:v>
      </x:c>
      <x:c r="B10" s="215" t="n">
        <x:f>SUM('Monthly P&amp;L'!$B$25:$AK$25)</x:f>
        <x:v>1947809.9803985723</x:v>
      </x:c>
      <x:c r="C10" s="215" t="n">
        <x:f>SUM('Monthly P&amp;L'!$B$15:$AK$24)</x:f>
        <x:v>1947809.9803985727</x:v>
      </x:c>
      <x:c r="D10" s="215" t="n">
        <x:f>B10-C10</x:f>
        <x:v>-4.656612873077393e-10</x:v>
      </x:c>
      <x:c r="E10" s="215" t="n">
        <x:v>0.01</x:v>
      </x:c>
      <x:c r="F10" s="216" t="str">
        <x:f>IF(ABS(D10)&lt;=E10,"OK","FAIL")</x:f>
        <x:v>OK</x:v>
      </x:c>
      <x:c r="G10" s="216" t="str">
        <x:v>Monthly P&amp;L rows 15:25</x:v>
      </x:c>
      <x:c r="H10" s="216" t="str">
        <x:v>Total cost of revenue should equal components.</x:v>
      </x:c>
    </x:row>
    <x:row r="11">
      <x:c r="A11" s="214" t="str">
        <x:v>Operating expense totals</x:v>
      </x:c>
      <x:c r="B11" s="215" t="n">
        <x:f>SUM('Monthly P&amp;L'!$B$51:$AK$51)</x:f>
        <x:v>6564037.348</x:v>
      </x:c>
      <x:c r="C11" s="215" t="n">
        <x:f>SUM('Monthly P&amp;L'!$B$49:$AK$50)</x:f>
        <x:v>6564037.347999998</x:v>
      </x:c>
      <x:c r="D11" s="215" t="n">
        <x:f>B11-C11</x:f>
        <x:v>1.862645149230957e-9</x:v>
      </x:c>
      <x:c r="E11" s="215" t="n">
        <x:v>0.01</x:v>
      </x:c>
      <x:c r="F11" s="216" t="str">
        <x:f>IF(ABS(D11)&lt;=E11,"OK","FAIL")</x:f>
        <x:v>OK</x:v>
      </x:c>
      <x:c r="G11" s="216" t="str">
        <x:v>Monthly P&amp;L rows 49:51</x:v>
      </x:c>
      <x:c r="H11" s="216" t="str">
        <x:v>Opex includes contingency.</x:v>
      </x:c>
    </x:row>
    <x:row r="12">
      <x:c r="A12" s="214" t="str">
        <x:v>AUD/USD is positive</x:v>
      </x:c>
      <x:c r="B12" s="215" t="n">
        <x:f>'Assumptions'!$G$32</x:f>
        <x:v>0.6991</x:v>
      </x:c>
      <x:c r="C12" s="215" t="n">
        <x:v>0</x:v>
      </x:c>
      <x:c r="D12" s="215" t="n">
        <x:f>B12-C12</x:f>
        <x:v>0.6991</x:v>
      </x:c>
      <x:c r="E12" s="215" t="n">
        <x:v>0</x:v>
      </x:c>
      <x:c r="F12" s="216" t="str">
        <x:f>IF(B12&gt;0,"OK","FAIL")</x:f>
        <x:v>OK</x:v>
      </x:c>
      <x:c r="G12" s="216" t="str">
        <x:v>Assumptions!C32:E32</x:v>
      </x:c>
      <x:c r="H12" s="216" t="str">
        <x:v>Required for US$ conversion.</x:v>
      </x:c>
    </x:row>
    <x:row r="13">
      <x:c r="A13" s="214" t="str">
        <x:v>Allocation schedule ties</x:v>
      </x:c>
      <x:c r="B13" s="215" t="n">
        <x:f>SUM('Monthly P&amp;L'!$B$64:$AK$64)</x:f>
        <x:v>225820.11171407785</x:v>
      </x:c>
      <x:c r="C13" s="215" t="n">
        <x:f>SUM('Monthly P&amp;L'!$B$60:$AK$60)</x:f>
        <x:v>225820.11171407785</x:v>
      </x:c>
      <x:c r="D13" s="215" t="n">
        <x:f>B13-C13</x:f>
        <x:v>0</x:v>
      </x:c>
      <x:c r="E13" s="215" t="n">
        <x:v>0.01</x:v>
      </x:c>
      <x:c r="F13" s="216" t="str">
        <x:f>IF(ABS(D13)&lt;=E13,"OK","FAIL")</x:f>
        <x:v>OK</x:v>
      </x:c>
      <x:c r="G13" s="216" t="str">
        <x:v>Monthly P&amp;L rows 60:65</x:v>
      </x:c>
      <x:c r="H13" s="216" t="str">
        <x:v>No unallocated positive surplus.</x:v>
      </x:c>
    </x:row>
    <x:row r="14">
      <x:c r="A14" s="214" t="str">
        <x:v>Year 1 spend mix reconciles</x:v>
      </x:c>
      <x:c r="B14" s="215" t="n">
        <x:f>SUM('Summary'!$K$14:$K$19)</x:f>
        <x:v>2758899.4707737416</x:v>
      </x:c>
      <x:c r="C14" s="215" t="n">
        <x:f>'Summary'!$B$10+'Summary'!$B$12</x:f>
        <x:v>2758899.4707737416</x:v>
      </x:c>
      <x:c r="D14" s="215" t="n">
        <x:f>B14-C14</x:f>
        <x:v>0</x:v>
      </x:c>
      <x:c r="E14" s="215" t="n">
        <x:v>0.01</x:v>
      </x:c>
      <x:c r="F14" s="216" t="str">
        <x:f>IF(ABS(D14)&lt;=E14,"OK","FAIL")</x:f>
        <x:v>OK</x:v>
      </x:c>
      <x:c r="G14" s="216" t="str">
        <x:v>Summary!K14:K19</x:v>
      </x:c>
      <x:c r="H14" s="216" t="str">
        <x:v>Cost-mix chart must reconcile to cost of revenue plus opex.</x:v>
      </x:c>
    </x:row>
    <x:row r="15">
      <x:c r="A15" s="69"/>
      <x:c r="B15" s="69"/>
      <x:c r="C15" s="69"/>
      <x:c r="D15" s="69"/>
      <x:c r="E15" s="69"/>
      <x:c r="F15" s="69"/>
      <x:c r="G15" s="69"/>
      <x:c r="H15" s="69"/>
    </x:row>
    <x:row r="16">
      <x:c r="A16" s="69"/>
      <x:c r="B16" s="69"/>
      <x:c r="C16" s="69"/>
      <x:c r="D16" s="69"/>
      <x:c r="E16" s="69"/>
      <x:c r="F16" s="69"/>
      <x:c r="G16" s="69"/>
      <x:c r="H16" s="69"/>
    </x:row>
    <x:row r="17">
      <x:c r="A17" s="69"/>
      <x:c r="B17" s="69"/>
      <x:c r="C17" s="69"/>
      <x:c r="D17" s="69"/>
      <x:c r="E17" s="69"/>
      <x:c r="F17" s="69"/>
      <x:c r="G17" s="69"/>
      <x:c r="H17" s="69"/>
    </x:row>
    <x:row r="18">
      <x:c r="A18" s="69"/>
      <x:c r="B18" s="69"/>
      <x:c r="C18" s="69"/>
      <x:c r="D18" s="69"/>
      <x:c r="E18" s="69"/>
      <x:c r="F18" s="69"/>
      <x:c r="G18" s="69"/>
      <x:c r="H18" s="69"/>
    </x:row>
  </x:sheetData>
  <x:conditionalFormatting sqref="B2:B2">
    <x:cfRule type="containsText" dxfId="3" priority="1" operator="containsText" text="PASS"/>
    <x:cfRule type="containsText" dxfId="4" priority="2" operator="containsText" text="FAIL"/>
  </x:conditionalFormatting>
  <x:conditionalFormatting sqref="F5:F14">
    <x:cfRule type="containsText" dxfId="5" priority="3" operator="containsText" text="OK"/>
    <x:cfRule type="containsText" dxfId="6" priority="4" operator="containsText" text="FAIL"/>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42" hidden="0" customWidth="1"/>
    <x:col min="4" max="4" width="14" hidden="0" customWidth="1"/>
    <x:col min="5" max="5" width="24" hidden="0" customWidth="1"/>
    <x:col min="6" max="6" width="62" hidden="0" customWidth="1"/>
    <x:col min="7" max="7" width="54" hidden="0" customWidth="1"/>
  </x:cols>
  <x:sheetData>
    <x:row r="1">
      <x:c r="A1" s="72" t="str">
        <x:v>Sources, Quotes and Assumption Register</x:v>
      </x:c>
      <x:c r="B1" s="72" t="str">
        <x:v>Sources, Quotes and Assumption Register</x:v>
      </x:c>
      <x:c r="C1" s="72" t="str">
        <x:v>Sources, Quotes and Assumption Register</x:v>
      </x:c>
      <x:c r="D1" s="72" t="str">
        <x:v>Sources, Quotes and Assumption Register</x:v>
      </x:c>
      <x:c r="E1" s="72" t="str">
        <x:v>Sources, Quotes and Assumption Register</x:v>
      </x:c>
      <x:c r="F1" s="72" t="str">
        <x:v>Sources, Quotes and Assumption Register</x:v>
      </x:c>
      <x:c r="G1" s="72" t="str">
        <x:v>Sources, Quotes and Assumption Register</x:v>
      </x:c>
    </x:row>
    <x:row r="2">
      <x:c r="A2" s="72" t="str">
        <x:v>Sources, Quotes and Assumption Register</x:v>
      </x:c>
      <x:c r="B2" s="72" t="str">
        <x:v>Sources, Quotes and Assumption Register</x:v>
      </x:c>
      <x:c r="C2" s="72" t="str">
        <x:v>Sources, Quotes and Assumption Register</x:v>
      </x:c>
      <x:c r="D2" s="72" t="str">
        <x:v>Sources, Quotes and Assumption Register</x:v>
      </x:c>
      <x:c r="E2" s="72" t="str">
        <x:v>Sources, Quotes and Assumption Register</x:v>
      </x:c>
      <x:c r="F2" s="72" t="str">
        <x:v>Sources, Quotes and Assumption Register</x:v>
      </x:c>
      <x:c r="G2" s="72" t="str">
        <x:v>Sources, Quotes and Assumption Register</x:v>
      </x:c>
    </x:row>
    <x:row r="3">
      <x:c r="A3" s="69"/>
      <x:c r="B3" s="69"/>
      <x:c r="C3" s="69"/>
      <x:c r="D3" s="69"/>
      <x:c r="E3" s="69"/>
      <x:c r="F3" s="69"/>
      <x:c r="G3" s="69"/>
    </x:row>
    <x:row r="4">
      <x:c r="A4" s="195" t="str">
        <x:v>Ref</x:v>
      </x:c>
      <x:c r="B4" s="196" t="str">
        <x:v>Item</x:v>
      </x:c>
      <x:c r="C4" s="196" t="str">
        <x:v>Value / treatment</x:v>
      </x:c>
      <x:c r="D4" s="196" t="str">
        <x:v>As of</x:v>
      </x:c>
      <x:c r="E4" s="196" t="str">
        <x:v>Source</x:v>
      </x:c>
      <x:c r="F4" s="196" t="str">
        <x:v>Link / reference</x:v>
      </x:c>
      <x:c r="G4" s="196" t="str">
        <x:v>Notes</x:v>
      </x:c>
    </x:row>
    <x:row r="5">
      <x:c r="A5" s="214" t="str">
        <x:v>SRC-01</x:v>
      </x:c>
      <x:c r="B5" s="216" t="str">
        <x:v>GPT-5.6 Terra pricing</x:v>
      </x:c>
      <x:c r="C5" s="216" t="str">
        <x:v>US$2.50 / 1M input; US$15 / 1M output tokens</x:v>
      </x:c>
      <x:c r="D5" s="219" t="str">
        <x:v>2026-07-21</x:v>
      </x:c>
      <x:c r="E5" s="216" t="str">
        <x:v>OpenAI model page</x:v>
      </x:c>
      <x:c r="F5" s="216" t="str">
        <x:v>https://developers.openai.com/api/docs/models/gpt-5.6-terra</x:v>
      </x:c>
      <x:c r="G5" s="216" t="str">
        <x:v>Current public list price; long-context premiums may apply.</x:v>
      </x:c>
    </x:row>
    <x:row r="6">
      <x:c r="A6" s="214" t="str">
        <x:v>SRC-02</x:v>
      </x:c>
      <x:c r="B6" s="216" t="str">
        <x:v>GPT-Realtime-2.1 pricing</x:v>
      </x:c>
      <x:c r="C6" s="216" t="str">
        <x:v>Audio: US$32 / 1M input; US$64 / 1M output tokens</x:v>
      </x:c>
      <x:c r="D6" s="219" t="str">
        <x:v>2026-07-21</x:v>
      </x:c>
      <x:c r="E6" s="216" t="str">
        <x:v>OpenAI model page</x:v>
      </x:c>
      <x:c r="F6" s="216" t="str">
        <x:v>https://developers.openai.com/api/docs/models/gpt-realtime-2.1</x:v>
      </x:c>
      <x:c r="G6" s="216" t="str">
        <x:v>Actual session token mix must be measured in pilot telemetry.</x:v>
      </x:c>
    </x:row>
    <x:row r="7">
      <x:c r="A7" s="214" t="str">
        <x:v>SRC-03</x:v>
      </x:c>
      <x:c r="B7" s="216" t="str">
        <x:v>Agora voice calling</x:v>
      </x:c>
      <x:c r="C7" s="216" t="str">
        <x:v>10,000 free participant min/month; US$0.99 / 1,000 thereafter</x:v>
      </x:c>
      <x:c r="D7" s="219" t="str">
        <x:v>2026-07-21</x:v>
      </x:c>
      <x:c r="E7" s="216" t="str">
        <x:v>Agora pricing</x:v>
      </x:c>
      <x:c r="F7" s="216" t="str">
        <x:v>https://www.agora.io/en/pricing/voice-calling/</x:v>
      </x:c>
      <x:c r="G7" s="216" t="str">
        <x:v>Participant-minute pricing; prepaid bundles and proxy minimums can change economics.</x:v>
      </x:c>
    </x:row>
    <x:row r="8">
      <x:c r="A8" s="214" t="str">
        <x:v>SRC-04</x:v>
      </x:c>
      <x:c r="B8" s="216" t="str">
        <x:v>Cloudflare Stream</x:v>
      </x:c>
      <x:c r="C8" s="216" t="str">
        <x:v>US$5 / 1,000 stored min; US$1 / 1,000 delivered min</x:v>
      </x:c>
      <x:c r="D8" s="219" t="str">
        <x:v>2026-07-21</x:v>
      </x:c>
      <x:c r="E8" s="216" t="str">
        <x:v>Cloudflare docs</x:v>
      </x:c>
      <x:c r="F8" s="216" t="str">
        <x:v>https://developers.cloudflare.com/stream/pricing/</x:v>
      </x:c>
      <x:c r="G8" s="216" t="str">
        <x:v>Encoding and bandwidth included in Stream delivery pricing.</x:v>
      </x:c>
    </x:row>
    <x:row r="9">
      <x:c r="A9" s="214" t="str">
        <x:v>SRC-05</x:v>
      </x:c>
      <x:c r="B9" s="216" t="str">
        <x:v>Panthur hosting</x:v>
      </x:c>
      <x:c r="C9" s="216" t="str">
        <x:v>A$62.32 / A$124.63 / A$186.95 monthly</x:v>
      </x:c>
      <x:c r="D9" s="219" t="str">
        <x:v>2026-07-21</x:v>
      </x:c>
      <x:c r="E9" s="216" t="str">
        <x:v>Panthur Stealth plans</x:v>
      </x:c>
      <x:c r="F9" s="216" t="str">
        <x:v>https://www.panthur.com.au/hosting/stealth/</x:v>
      </x:c>
      <x:c r="G9" s="216" t="str">
        <x:v>Conservative plan ladder; replace with current invoice and chosen tier.</x:v>
      </x:c>
    </x:row>
    <x:row r="10">
      <x:c r="A10" s="214" t="str">
        <x:v>SRC-06</x:v>
      </x:c>
      <x:c r="B10" s="216" t="str">
        <x:v>AUD/USD</x:v>
      </x:c>
      <x:c r="C10" s="216" t="str">
        <x:v>0.6991 US dollars per A$1</x:v>
      </x:c>
      <x:c r="D10" s="219" t="str">
        <x:v>2026-07-20</x:v>
      </x:c>
      <x:c r="E10" s="216" t="str">
        <x:v>Reserve Bank of Australia</x:v>
      </x:c>
      <x:c r="F10" s="216" t="str">
        <x:v>https://www.rba.gov.au/statistics/frequency/exchange-rates.html</x:v>
      </x:c>
      <x:c r="G10" s="216" t="str">
        <x:v>Vendor US$ costs divide by this input to convert to A$.</x:v>
      </x:c>
    </x:row>
    <x:row r="11">
      <x:c r="A11" s="214" t="str">
        <x:v>SRC-07</x:v>
      </x:c>
      <x:c r="B11" s="216" t="str">
        <x:v>Musical-work online licensing</x:v>
      </x:c>
      <x:c r="C11" s="216" t="str">
        <x:v>Licence / quote required by service design and scale</x:v>
      </x:c>
      <x:c r="D11" s="219" t="str">
        <x:v>2026-07-21</x:v>
      </x:c>
      <x:c r="E11" s="216" t="str">
        <x:v>APRA AMCOS</x:v>
      </x:c>
      <x:c r="F11" s="216" t="str">
        <x:v>https://www.apraamcos.com.au/music-licences/select-a-licence/online-mini-licence</x:v>
      </x:c>
      <x:c r="G11" s="216" t="str">
        <x:v>Mini licence has limits and exclusions; larger / interactive services require direct scoping.</x:v>
      </x:c>
    </x:row>
    <x:row r="12">
      <x:c r="A12" s="214" t="str">
        <x:v>SRC-08</x:v>
      </x:c>
      <x:c r="B12" s="216" t="str">
        <x:v>Sync and master rights</x:v>
      </x:c>
      <x:c r="C12" s="216" t="str">
        <x:v>Direct owner / publisher / label permissions may be required</x:v>
      </x:c>
      <x:c r="D12" s="219" t="str">
        <x:v>2026-07-21</x:v>
      </x:c>
      <x:c r="E12" s="216" t="str">
        <x:v>APRA AMCOS</x:v>
      </x:c>
      <x:c r="F12" s="216" t="str">
        <x:v>https://www.apraamcos.com.au/music-licences/select-a-licence/synchronisation</x:v>
      </x:c>
      <x:c r="G12" s="216" t="str">
        <x:v>Composition, master recording, communication and sync rights should not be collapsed.</x:v>
      </x:c>
    </x:row>
    <x:row r="13">
      <x:c r="A13" s="214" t="str">
        <x:v>SRC-09</x:v>
      </x:c>
      <x:c r="B13" s="216" t="str">
        <x:v>PPCA online streaming</x:v>
      </x:c>
      <x:c r="C13" s="216" t="str">
        <x:v>Application / licence terms required</x:v>
      </x:c>
      <x:c r="D13" s="219" t="str">
        <x:v>2026-07-21</x:v>
      </x:c>
      <x:c r="E13" s="216" t="str">
        <x:v>PPCA</x:v>
      </x:c>
      <x:c r="F13" s="216" t="str">
        <x:v>https://www.ppca.com.au/music-licensing/online-streaming-application-form</x:v>
      </x:c>
      <x:c r="G13" s="216" t="str">
        <x:v>PPCA application is not itself permission; on-demand constraints require counsel.</x:v>
      </x:c>
    </x:row>
    <x:row r="14">
      <x:c r="A14" s="214" t="str">
        <x:v>SRC-10</x:v>
      </x:c>
      <x:c r="B14" s="216" t="str">
        <x:v>Human research ethics</x:v>
      </x:c>
      <x:c r="C14" s="216" t="str">
        <x:v>Current National Statement effective 2026-06-23</x:v>
      </x:c>
      <x:c r="D14" s="219" t="str">
        <x:v>2026-07-21</x:v>
      </x:c>
      <x:c r="E14" s="216" t="str">
        <x:v>NHMRC</x:v>
      </x:c>
      <x:c r="F14" s="216" t="str">
        <x:v>https://www.nhmrc.gov.au/research-policy/ethics/national-statement-ethical-conduct-human-research</x:v>
      </x:c>
      <x:c r="G14" s="216" t="str">
        <x:v>Almost all human research requires appropriate ethics review; fees vary by HREC/institution.</x:v>
      </x:c>
    </x:row>
    <x:row r="15">
      <x:c r="A15" s="214" t="str">
        <x:v>SRC-11</x:v>
      </x:c>
      <x:c r="B15" s="216" t="str">
        <x:v>Wearable HR and BP</x:v>
      </x:c>
      <x:c r="C15" s="216" t="str">
        <x:v>Apple Watch supports HR; hypertension alerts are not BP measurements</x:v>
      </x:c>
      <x:c r="D15" s="219" t="str">
        <x:v>2026-07-21</x:v>
      </x:c>
      <x:c r="E15" s="216" t="str">
        <x:v>Apple Australia</x:v>
      </x:c>
      <x:c r="F15" s="216" t="str">
        <x:v>https://www.apple.com/au/newsroom/2026/01/hypertension-notifications-available-today-on-apple-watch/</x:v>
      </x:c>
      <x:c r="G15" s="216" t="str">
        <x:v>Use a third-party validated blood-pressure cuff for actual readings.</x:v>
      </x:c>
    </x:row>
    <x:row r="16">
      <x:c r="A16" s="214" t="str">
        <x:v>QUOTE-04</x:v>
      </x:c>
      <x:c r="B16" s="216" t="str">
        <x:v>Pre/post buccal RNA/mRNA sequencing</x:v>
      </x:c>
      <x:c r="C16" s="216" t="str">
        <x:v>A$1,000 per participant for two timepoints</x:v>
      </x:c>
      <x:c r="D16" s="219" t="str">
        <x:v>circa 2019</x:v>
      </x:c>
      <x:c r="E16" s="216" t="str">
        <x:v>Founder-supplied Garvan / Kinghorn quote</x:v>
      </x:c>
      <x:c r="F16" s="216" t="str">
        <x:v>https://www.garvan.org.au/news-resources/news/how-to-read-dna-in-real-time</x:v>
      </x:c>
      <x:c r="G16" s="216" t="str">
        <x:v>Intended laboratory: Garvan Institute's Kinghorn Centre for Clinical Genomics. Historical quote; refresh assay protocol, inclusions and price before commitment.</x:v>
      </x:c>
    </x:row>
    <x:row r="17">
      <x:c r="A17" s="214" t="str">
        <x:v>USER-A</x:v>
      </x:c>
      <x:c r="B17" s="216" t="str">
        <x:v>Founder planning brief</x:v>
      </x:c>
      <x:c r="C17" s="216" t="str">
        <x:v>Revenue, cost categories, 7.7% affiliate rate, participant gifts and surplus policy</x:v>
      </x:c>
      <x:c r="D17" s="216" t="str">
        <x:v>2026-07-21</x:v>
      </x:c>
      <x:c r="E17" s="216" t="str">
        <x:v>Ben Korbel</x:v>
      </x:c>
      <x:c r="F17" s="216" t="str">
        <x:v>Internal brief</x:v>
      </x:c>
      <x:c r="G17" s="216" t="str">
        <x:v>Editable planning assumptions; not vendor quotes or executed agreements.</x:v>
      </x:c>
    </x:row>
    <x:row r="18">
      <x:c r="A18" s="214" t="str">
        <x:v>USER-B</x:v>
      </x:c>
      <x:c r="B18" s="216" t="str">
        <x:v>Creative contributors</x:v>
      </x:c>
      <x:c r="C18" s="216" t="str">
        <x:v>GIF creator royalty pool and A$400 all-in guest-room fee / gift</x:v>
      </x:c>
      <x:c r="D18" s="216" t="str">
        <x:v>2026-07-21</x:v>
      </x:c>
      <x:c r="E18" s="216" t="str">
        <x:v>Ben Korbel</x:v>
      </x:c>
      <x:c r="F18" s="216" t="str">
        <x:v>Internal brief</x:v>
      </x:c>
      <x:c r="G18" s="216" t="str">
        <x:v>Prospective guests include Rare Studios, BodyMindLife, Nagnata, This Is First Base and Heckler. Examples only; no affiliation or commitment implied.</x:v>
      </x:c>
    </x:row>
  </x:sheetData>
  <x:mergeCells>
    <x:mergeCell ref="A1:G2"/>
  </x:mergeCells>
  <x:pageMargins left="0.7" right="0.7" top="0.75" bottom="0.75" header="0.3" footer="0.3"/>
</x:worksheet>
</file>